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Tracker" sheetId="1" state="visible" r:id="rId3"/>
    <sheet name="KPI Dashboard" sheetId="2" state="visible" r:id="rId4"/>
    <sheet name="GLPI Ticket Template" sheetId="3" state="visible" r:id="rId5"/>
    <sheet name="Ownership &amp; Timelin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<sst xmlns="http://schemas.openxmlformats.org/spreadsheetml/2006/main" count="623" uniqueCount="276">
  <si>
    <t xml:space="preserve">SOC DOCUMENTATION BUILD TRACKER — L1 &amp; L2 READINESS</t>
  </si>
  <si>
    <t xml:space="preserve">Trellix  ·  Wazuh  ·  Teramind  ·  FortiMail  ·  FortiGate  ·  Cloudflare / Medianova / FortiWeb  ·  Elastic  ·  Nessus  ·  Velociraptor</t>
  </si>
  <si>
    <t xml:space="preserve">Doc ID</t>
  </si>
  <si>
    <t xml:space="preserve">Wave</t>
  </si>
  <si>
    <t xml:space="preserve">Type</t>
  </si>
  <si>
    <t xml:space="preserve">Level</t>
  </si>
  <si>
    <t xml:space="preserve">Title</t>
  </si>
  <si>
    <t xml:space="preserve">Tool / Area</t>
  </si>
  <si>
    <t xml:space="preserve">Priority</t>
  </si>
  <si>
    <t xml:space="preserve">Build Days</t>
  </si>
  <si>
    <t xml:space="preserve">Due (Target)</t>
  </si>
  <si>
    <t xml:space="preserve">Assigned To</t>
  </si>
  <si>
    <t xml:space="preserve">Status</t>
  </si>
  <si>
    <t xml:space="preserve">% Complete</t>
  </si>
  <si>
    <t xml:space="preserve">Date Started</t>
  </si>
  <si>
    <t xml:space="preserve">Date Completed</t>
  </si>
  <si>
    <t xml:space="preserve">Reviewed By</t>
  </si>
  <si>
    <t xml:space="preserve">Notes / GLPI #</t>
  </si>
  <si>
    <t xml:space="preserve">   Wave 1 — SOPs (Governance Foundation)</t>
  </si>
  <si>
    <t xml:space="preserve">SOP-001</t>
  </si>
  <si>
    <t xml:space="preserve">Wave 1</t>
  </si>
  <si>
    <t xml:space="preserve">SOP</t>
  </si>
  <si>
    <t xml:space="preserve">Both</t>
  </si>
  <si>
    <t xml:space="preserve">SOC Daily Operations &amp; Shift Handover</t>
  </si>
  <si>
    <t xml:space="preserve">All</t>
  </si>
  <si>
    <t xml:space="preserve">P1</t>
  </si>
  <si>
    <t xml:space="preserve">Week 1</t>
  </si>
  <si>
    <t xml:space="preserve">Not Started</t>
  </si>
  <si>
    <t xml:space="preserve">SOP-002</t>
  </si>
  <si>
    <t xml:space="preserve">Alert Triage &amp; Severity Classification</t>
  </si>
  <si>
    <t xml:space="preserve">Elastic / All</t>
  </si>
  <si>
    <t xml:space="preserve">SOP-003</t>
  </si>
  <si>
    <t xml:space="preserve">GLPI Ticket Lifecycle (Open to Processing to Solved)</t>
  </si>
  <si>
    <t xml:space="preserve">GLPI</t>
  </si>
  <si>
    <t xml:space="preserve">SOP-004</t>
  </si>
  <si>
    <t xml:space="preserve">Incident Escalation &amp; Communication (L1 &gt; L2 &gt; HOIT)</t>
  </si>
  <si>
    <t xml:space="preserve">Week 2</t>
  </si>
  <si>
    <t xml:space="preserve">SOP-005</t>
  </si>
  <si>
    <t xml:space="preserve">L2</t>
  </si>
  <si>
    <t xml:space="preserve">Evidence Collection &amp; Chain of Custody</t>
  </si>
  <si>
    <t xml:space="preserve">Velociraptor / All</t>
  </si>
  <si>
    <t xml:space="preserve">SOP-006</t>
  </si>
  <si>
    <t xml:space="preserve">Vulnerability Management &amp; Remediation Tracking</t>
  </si>
  <si>
    <t xml:space="preserve">Nessus</t>
  </si>
  <si>
    <t xml:space="preserve">SOP-007</t>
  </si>
  <si>
    <t xml:space="preserve">Log Management, Retention &amp; Elastic SIEM Health</t>
  </si>
  <si>
    <t xml:space="preserve">Elastic</t>
  </si>
  <si>
    <t xml:space="preserve">P2</t>
  </si>
  <si>
    <t xml:space="preserve">Week 3</t>
  </si>
  <si>
    <t xml:space="preserve">SOP-008</t>
  </si>
  <si>
    <t xml:space="preserve">User Behavior Monitoring &amp; Insider Threat Governance</t>
  </si>
  <si>
    <t xml:space="preserve">Teramind</t>
  </si>
  <si>
    <t xml:space="preserve">SOP-009</t>
  </si>
  <si>
    <t xml:space="preserve">Endpoint Protection Policy &amp; EDR Management</t>
  </si>
  <si>
    <t xml:space="preserve">Trellix / Wazuh</t>
  </si>
  <si>
    <t xml:space="preserve">SOP-010</t>
  </si>
  <si>
    <t xml:space="preserve">New SOC Analyst Onboarding &amp; Tool Access</t>
  </si>
  <si>
    <t xml:space="preserve">Week 4</t>
  </si>
  <si>
    <t xml:space="preserve">SOP-011</t>
  </si>
  <si>
    <t xml:space="preserve">Post-Incident Review &amp; Lessons Learned</t>
  </si>
  <si>
    <t xml:space="preserve">SOP-012</t>
  </si>
  <si>
    <t xml:space="preserve">Threat Intelligence Consumption &amp; IOC Management</t>
  </si>
  <si>
    <t xml:space="preserve">P3</t>
  </si>
  <si>
    <t xml:space="preserve">Week 5</t>
  </si>
  <si>
    <t xml:space="preserve">   Wave 2 — Daily Operations Playbooks</t>
  </si>
  <si>
    <t xml:space="preserve">PB-001</t>
  </si>
  <si>
    <t xml:space="preserve">Wave 2</t>
  </si>
  <si>
    <t xml:space="preserve">PB</t>
  </si>
  <si>
    <t xml:space="preserve">L1</t>
  </si>
  <si>
    <t xml:space="preserve">Morning Shift Startup &amp; Alert Queue Review</t>
  </si>
  <si>
    <t xml:space="preserve">PB-002</t>
  </si>
  <si>
    <t xml:space="preserve">Elastic SIEM — Alert Triage &amp; Initial Classification</t>
  </si>
  <si>
    <t xml:space="preserve">PB-003</t>
  </si>
  <si>
    <t xml:space="preserve">Shift Handover Checklist &amp; Ticket Status Sync</t>
  </si>
  <si>
    <t xml:space="preserve">GLPI / Elastic</t>
  </si>
  <si>
    <t xml:space="preserve">PB-004</t>
  </si>
  <si>
    <t xml:space="preserve">GLPI Ticket Creation from Elastic Alert (manual)</t>
  </si>
  <si>
    <t xml:space="preserve">PB-005</t>
  </si>
  <si>
    <t xml:space="preserve">Weekly Nessus Scan Execution &amp; Report Review</t>
  </si>
  <si>
    <t xml:space="preserve">PB-006</t>
  </si>
  <si>
    <t xml:space="preserve">Critical/High Vulnerability Triage &amp; Owner Assignment</t>
  </si>
  <si>
    <t xml:space="preserve">PB-007</t>
  </si>
  <si>
    <t xml:space="preserve">Wazuh Agent Health Check &amp; Offline Agent Response</t>
  </si>
  <si>
    <t xml:space="preserve">Wazuh</t>
  </si>
  <si>
    <t xml:space="preserve">PB-008</t>
  </si>
  <si>
    <t xml:space="preserve">Trellix Console Daily Review &amp; Alert Disposition</t>
  </si>
  <si>
    <t xml:space="preserve">Trellix</t>
  </si>
  <si>
    <t xml:space="preserve">PB-009</t>
  </si>
  <si>
    <t xml:space="preserve">FortiGate Firewall Log Review (Daily Checks)</t>
  </si>
  <si>
    <t xml:space="preserve">FortiGate</t>
  </si>
  <si>
    <t xml:space="preserve">PB-010</t>
  </si>
  <si>
    <t xml:space="preserve">FortiMail Daily Queue &amp; Quarantine Review</t>
  </si>
  <si>
    <t xml:space="preserve">FortiMail</t>
  </si>
  <si>
    <t xml:space="preserve">   Wave 3 — Endpoint &amp; Malware Playbooks</t>
  </si>
  <si>
    <t xml:space="preserve">PB-011</t>
  </si>
  <si>
    <t xml:space="preserve">Wave 3</t>
  </si>
  <si>
    <t xml:space="preserve">L1/L2</t>
  </si>
  <si>
    <t xml:space="preserve">Malware Detection — Trellix Alert Triage &amp; Containment</t>
  </si>
  <si>
    <t xml:space="preserve">PB-012</t>
  </si>
  <si>
    <t xml:space="preserve">Ransomware Suspected — Isolation &amp; Escalation</t>
  </si>
  <si>
    <t xml:space="preserve">PB-013</t>
  </si>
  <si>
    <t xml:space="preserve">Suspicious Process Execution on Windows Endpoint</t>
  </si>
  <si>
    <t xml:space="preserve">PB-014</t>
  </si>
  <si>
    <t xml:space="preserve">File Integrity Monitoring (FIM) Alert — Wazuh</t>
  </si>
  <si>
    <t xml:space="preserve">PB-015</t>
  </si>
  <si>
    <t xml:space="preserve">Rootkit / Kernel-Level Detection — Wazuh</t>
  </si>
  <si>
    <t xml:space="preserve">PB-016</t>
  </si>
  <si>
    <t xml:space="preserve">Brute Force Attack — Windows (RDP/SMB)</t>
  </si>
  <si>
    <t xml:space="preserve">Wazuh / Elastic</t>
  </si>
  <si>
    <t xml:space="preserve">PB-017</t>
  </si>
  <si>
    <t xml:space="preserve">Brute Force Attack — Linux (SSH)</t>
  </si>
  <si>
    <t xml:space="preserve">PB-018</t>
  </si>
  <si>
    <t xml:space="preserve">Privilege Escalation Detected — Windows or Linux</t>
  </si>
  <si>
    <t xml:space="preserve">Wazuh / Trellix</t>
  </si>
  <si>
    <t xml:space="preserve">PB-019</t>
  </si>
  <si>
    <t xml:space="preserve">Lateral Movement Detected (Pass-the-Hash / WMI / RDP)</t>
  </si>
  <si>
    <t xml:space="preserve">Elastic / Wazuh</t>
  </si>
  <si>
    <t xml:space="preserve">PB-020</t>
  </si>
  <si>
    <t xml:space="preserve">Velociraptor — Endpoint Forensic Collection</t>
  </si>
  <si>
    <t xml:space="preserve">Velociraptor</t>
  </si>
  <si>
    <t xml:space="preserve">PB-021</t>
  </si>
  <si>
    <t xml:space="preserve">Velociraptor — Threat Hunt Execution (targeted IOC)</t>
  </si>
  <si>
    <t xml:space="preserve">   Wave 4 — Network &amp; Perimeter Playbooks</t>
  </si>
  <si>
    <t xml:space="preserve">PB-022</t>
  </si>
  <si>
    <t xml:space="preserve">Wave 4</t>
  </si>
  <si>
    <t xml:space="preserve">Firewall Policy Violation / Unauthorized Access Attempt</t>
  </si>
  <si>
    <t xml:space="preserve">PB-023</t>
  </si>
  <si>
    <t xml:space="preserve">Suspicious Outbound Traffic / C2 Beaconing</t>
  </si>
  <si>
    <t xml:space="preserve">FortiGate / Elastic</t>
  </si>
  <si>
    <t xml:space="preserve">PB-024</t>
  </si>
  <si>
    <t xml:space="preserve">DDoS Detection &amp; Mitigation (volumetric)</t>
  </si>
  <si>
    <t xml:space="preserve">FortiGate / Cloudflare</t>
  </si>
  <si>
    <t xml:space="preserve">PB-025</t>
  </si>
  <si>
    <t xml:space="preserve">WAF Alert — SQL Injection Attempt</t>
  </si>
  <si>
    <t xml:space="preserve">FortiWeb / Cloudflare</t>
  </si>
  <si>
    <t xml:space="preserve">PB-026</t>
  </si>
  <si>
    <t xml:space="preserve">WAF Alert — XSS / Code Injection Attempt</t>
  </si>
  <si>
    <t xml:space="preserve">PB-027</t>
  </si>
  <si>
    <t xml:space="preserve">Bot / Scraping Attack Detected</t>
  </si>
  <si>
    <t xml:space="preserve">Cloudflare / Medianova</t>
  </si>
  <si>
    <t xml:space="preserve">PB-028</t>
  </si>
  <si>
    <t xml:space="preserve">CDN Anomaly / Availability Drop — Medianova</t>
  </si>
  <si>
    <t xml:space="preserve">Medianova</t>
  </si>
  <si>
    <t xml:space="preserve">PB-029</t>
  </si>
  <si>
    <t xml:space="preserve">Geo-Blocking Trigger / Suspicious Country of Origin</t>
  </si>
  <si>
    <t xml:space="preserve">Cloudflare / FortiGate</t>
  </si>
  <si>
    <t xml:space="preserve">PB-030</t>
  </si>
  <si>
    <t xml:space="preserve">FortiGate VPN Anomaly (unusual location / brute)</t>
  </si>
  <si>
    <t xml:space="preserve">   Wave 5 — Email, Insider &amp; User Behavior Playbooks</t>
  </si>
  <si>
    <t xml:space="preserve">PB-031</t>
  </si>
  <si>
    <t xml:space="preserve">Wave 5</t>
  </si>
  <si>
    <t xml:space="preserve">Phishing Email Reported / Detected — FortiMail</t>
  </si>
  <si>
    <t xml:space="preserve">PB-032</t>
  </si>
  <si>
    <t xml:space="preserve">Malicious Attachment Detected — FortiMail</t>
  </si>
  <si>
    <t xml:space="preserve">PB-033</t>
  </si>
  <si>
    <t xml:space="preserve">Email Spoofing / BEC (Business Email Compromise)</t>
  </si>
  <si>
    <t xml:space="preserve">PB-034</t>
  </si>
  <si>
    <t xml:space="preserve">Spam Campaign / Mass Delivery Anomaly</t>
  </si>
  <si>
    <t xml:space="preserve">PB-035</t>
  </si>
  <si>
    <t xml:space="preserve">Insider Threat — Data Exfiltration Alert (Teramind)</t>
  </si>
  <si>
    <t xml:space="preserve">PB-036</t>
  </si>
  <si>
    <t xml:space="preserve">Acceptable Use Policy Violation — Teramind</t>
  </si>
  <si>
    <t xml:space="preserve">PB-037</t>
  </si>
  <si>
    <t xml:space="preserve">Abnormal Working Hours / After-Hours Access — Teramind</t>
  </si>
  <si>
    <t xml:space="preserve">PB-038</t>
  </si>
  <si>
    <t xml:space="preserve">Credential Stuffing / Account Takeover Attempt</t>
  </si>
  <si>
    <t xml:space="preserve">PB-039</t>
  </si>
  <si>
    <t xml:space="preserve">New Admin Account Created Outside Change Process</t>
  </si>
  <si>
    <t xml:space="preserve">PB-040</t>
  </si>
  <si>
    <t xml:space="preserve">User Account Disabled / Terminated User Still Active</t>
  </si>
  <si>
    <t xml:space="preserve">Wazuh / Teramind</t>
  </si>
  <si>
    <t xml:space="preserve">TOTALS</t>
  </si>
  <si>
    <t xml:space="preserve">SOC DOCUMENTATION KPI DASHBOARD</t>
  </si>
  <si>
    <t xml:space="preserve">Metrics pulled live from Master Tracker — update Status and % Complete there</t>
  </si>
  <si>
    <t xml:space="preserve">Total Docs</t>
  </si>
  <si>
    <t xml:space="preserve">SOPs</t>
  </si>
  <si>
    <t xml:space="preserve">Playbooks</t>
  </si>
  <si>
    <t xml:space="preserve">P1 Docs</t>
  </si>
  <si>
    <t xml:space="preserve">Build Days Total</t>
  </si>
  <si>
    <t xml:space="preserve">Approved / Done</t>
  </si>
  <si>
    <t xml:space="preserve">STATUS BREAKDOWN BY WAVE</t>
  </si>
  <si>
    <t xml:space="preserve">Category</t>
  </si>
  <si>
    <t xml:space="preserve">In Progress</t>
  </si>
  <si>
    <t xml:space="preserve">Draft Done</t>
  </si>
  <si>
    <t xml:space="preserve">Under Review</t>
  </si>
  <si>
    <t xml:space="preserve">Approved</t>
  </si>
  <si>
    <t xml:space="preserve">SOPs — Governance Foundation</t>
  </si>
  <si>
    <t xml:space="preserve">Daily Operations Playbooks</t>
  </si>
  <si>
    <t xml:space="preserve">Endpoint &amp; Malware Playbooks</t>
  </si>
  <si>
    <t xml:space="preserve">Network &amp; Perimeter Playbooks</t>
  </si>
  <si>
    <t xml:space="preserve">Email, Insider &amp; User Behavior</t>
  </si>
  <si>
    <t xml:space="preserve">QUALITY GATE — All boxes must pass before setting Status = Approved in Master Tracker</t>
  </si>
  <si>
    <t xml:space="preserve">  [ ]  Correct template used — SOP format for SOPs, Playbook format for PBs (never mixed)</t>
  </si>
  <si>
    <t xml:space="preserve">  [ ]  Reviewed by one L1 analyst who has never seen that specific scenario before</t>
  </si>
  <si>
    <t xml:space="preserve">  [ ]  The L1 analyst completed the full task without asking a single clarifying question</t>
  </si>
  <si>
    <t xml:space="preserve">  [ ]  All tools referenced by exact product name (e.g. Elastic, Wazuh — not 'the SIEM')</t>
  </si>
  <si>
    <t xml:space="preserve">  [ ]  Every decision point is an explicit IF / THEN branch (Playbooks only)</t>
  </si>
  <si>
    <t xml:space="preserve">  [ ]  Document Owner and quarterly Review Date are assigned (SOPs only)</t>
  </si>
  <si>
    <t xml:space="preserve">  [ ]  File uploaded to document system and GLPI ticket number logged in Master Tracker</t>
  </si>
  <si>
    <t xml:space="preserve">GLPI TICKET TEMPLATE — SOC Document Build Task</t>
  </si>
  <si>
    <t xml:space="preserve">TICKET FIELDS</t>
  </si>
  <si>
    <t xml:space="preserve">[ID] [Title] — BUILD</t>
  </si>
  <si>
    <t xml:space="preserve">PB-016 — Brute Force RDP — BUILD</t>
  </si>
  <si>
    <t xml:space="preserve">SOC Documentation</t>
  </si>
  <si>
    <t xml:space="preserve">Task</t>
  </si>
  <si>
    <t xml:space="preserve">Person responsible for this wave</t>
  </si>
  <si>
    <t xml:space="preserve">[Analyst Name]</t>
  </si>
  <si>
    <t xml:space="preserve">Status — 0% done</t>
  </si>
  <si>
    <t xml:space="preserve">Use:  New</t>
  </si>
  <si>
    <t xml:space="preserve">New</t>
  </si>
  <si>
    <t xml:space="preserve">Status — work started</t>
  </si>
  <si>
    <t xml:space="preserve">Use:  Processing (assigned)</t>
  </si>
  <si>
    <t xml:space="preserve">Processing (assigned)</t>
  </si>
  <si>
    <t xml:space="preserve">Status — QA passed</t>
  </si>
  <si>
    <t xml:space="preserve">Use:  Solved (only after QA gate)</t>
  </si>
  <si>
    <t xml:space="preserve">Solved</t>
  </si>
  <si>
    <t xml:space="preserve">Priority mapping</t>
  </si>
  <si>
    <t xml:space="preserve">P1 = Very High  |  P2 = High  |  P3 = Medium</t>
  </si>
  <si>
    <t xml:space="preserve">Very High / High / Medium</t>
  </si>
  <si>
    <t xml:space="preserve">DESCRIPTION BLOCK — paste this into every GLPI ticket description field</t>
  </si>
  <si>
    <t xml:space="preserve">Document ID:     [SOP-XXX  /  PB-XXX]</t>
  </si>
  <si>
    <t xml:space="preserve">Type:            [SOP  /  Playbook]</t>
  </si>
  <si>
    <t xml:space="preserve">Level:           [L1  /  L2  /  Both]</t>
  </si>
  <si>
    <t xml:space="preserve">Tool Coverage:   [Primary tool(s) — exact product names]</t>
  </si>
  <si>
    <t xml:space="preserve">Due Date:        [Target week from Master Tracker]</t>
  </si>
  <si>
    <t xml:space="preserve">Assigned To:     [Name]</t>
  </si>
  <si>
    <t xml:space="preserve">Reviewer:        [SOC Lead name]</t>
  </si>
  <si>
    <t xml:space="preserve">ACCEPTANCE CRITERIA (ALL required before Solved):</t>
  </si>
  <si>
    <t xml:space="preserve">  [ ]  Correct template used (SOP vs Playbook — never mixed)</t>
  </si>
  <si>
    <t xml:space="preserve">  [ ]  Reviewed by L1 analyst unfamiliar with this scenario</t>
  </si>
  <si>
    <t xml:space="preserve">  [ ]  L1 completed task without asking a single question</t>
  </si>
  <si>
    <t xml:space="preserve">  [ ]  All tools named exactly (Elastic, Wazuh — not 'the SIEM')</t>
  </si>
  <si>
    <t xml:space="preserve">  [ ]  IF/THEN decision points present (Playbooks only)</t>
  </si>
  <si>
    <t xml:space="preserve">  [ ]  Owner + Review Date assigned (SOPs only)</t>
  </si>
  <si>
    <t xml:space="preserve">  [ ]  Document uploaded — file location recorded in ticket</t>
  </si>
  <si>
    <t xml:space="preserve">RECOMMENDED OWNERSHIP SPLIT — 3-PERSON BUILD TEAM</t>
  </si>
  <si>
    <t xml:space="preserve">Person</t>
  </si>
  <si>
    <t xml:space="preserve">Waves</t>
  </si>
  <si>
    <t xml:space="preserve">Focus Area</t>
  </si>
  <si>
    <t xml:space="preserve"># Docs</t>
  </si>
  <si>
    <t xml:space="preserve">Target Done</t>
  </si>
  <si>
    <t xml:space="preserve">Actual Done</t>
  </si>
  <si>
    <t xml:space="preserve">Person A</t>
  </si>
  <si>
    <t xml:space="preserve">Wave 1 + Wave 2</t>
  </si>
  <si>
    <t xml:space="preserve">Governance SOPs + Daily Operations Playbooks</t>
  </si>
  <si>
    <t xml:space="preserve">Person B</t>
  </si>
  <si>
    <t xml:space="preserve">Wave 3 + Wave 5 (partial)</t>
  </si>
  <si>
    <t xml:space="preserve">Endpoint, Malware, Credential &amp; Insider Threat</t>
  </si>
  <si>
    <t xml:space="preserve">Person C</t>
  </si>
  <si>
    <t xml:space="preserve">Wave 4 + Wave 5 (rest)</t>
  </si>
  <si>
    <t xml:space="preserve">Network, Perimeter, Email &amp; User Behavior</t>
  </si>
  <si>
    <t xml:space="preserve">WARNING:  104 build-days assigned to 1 person = project failure.  Minimum 2 people required.  3 is strongly recommended.</t>
  </si>
  <si>
    <t xml:space="preserve">12-WEEK BUILD TIMELINE</t>
  </si>
  <si>
    <t xml:space="preserve">Period</t>
  </si>
  <si>
    <t xml:space="preserve">Documents Due</t>
  </si>
  <si>
    <t xml:space="preserve">Milestone / Goal</t>
  </si>
  <si>
    <t xml:space="preserve">Owner</t>
  </si>
  <si>
    <t xml:space="preserve">SOP-001/002/003 + PB-001/002/003/004</t>
  </si>
  <si>
    <t xml:space="preserve">Foundation — SOC shift ops + GLPI ticket flow</t>
  </si>
  <si>
    <t xml:space="preserve">SOP-004/005/006 + PB-005..011 + PB-012/016/017</t>
  </si>
  <si>
    <t xml:space="preserve">Incident response + endpoint coverage active</t>
  </si>
  <si>
    <t xml:space="preserve">Person A + B</t>
  </si>
  <si>
    <t xml:space="preserve">SOP-007/008/009 + PB-009/010/013/014 + PB-022/023 + PB-031/032/035/038</t>
  </si>
  <si>
    <t xml:space="preserve">Full L1 daily coverage across all tools</t>
  </si>
  <si>
    <t xml:space="preserve">SOP-010/011 + PB-015/018/019/020 + PB-024..030 + PB-033/036/037/039/040</t>
  </si>
  <si>
    <t xml:space="preserve">L2 response coverage complete</t>
  </si>
  <si>
    <t xml:space="preserve">Person B + C</t>
  </si>
  <si>
    <t xml:space="preserve">SOP-012 + PB-021 + PB-027/028/029 + PB-034</t>
  </si>
  <si>
    <t xml:space="preserve">All 52 documents built</t>
  </si>
  <si>
    <t xml:space="preserve">Week 6</t>
  </si>
  <si>
    <t xml:space="preserve">QA review — apply New Hire Test to every document</t>
  </si>
  <si>
    <t xml:space="preserve">Quality gate — no document marked Approved without passing</t>
  </si>
  <si>
    <t xml:space="preserve">SOC Lead</t>
  </si>
  <si>
    <t xml:space="preserve">Week 7+</t>
  </si>
  <si>
    <t xml:space="preserve">Revision cycle based on QA findings</t>
  </si>
  <si>
    <t xml:space="preserve">Ongoing — close GLPI tickets only after QA pass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</si>
</sst>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D1F3C"/>
      <name val="Arial"/>
      <family val="0"/>
      <charset val="1"/>
    </font>
    <font>
      <b val="true"/>
      <sz val="10"/>
      <color rgb="FF0D1F3C"/>
      <name val="Arial"/>
      <family val="0"/>
      <charset val="1"/>
    </font>
    <font>
      <b val="true"/>
      <sz val="10"/>
      <color rgb="FF7B0000"/>
      <name val="Arial"/>
      <family val="0"/>
      <charset val="1"/>
    </font>
    <font>
      <b val="true"/>
      <sz val="10"/>
      <color rgb="FF833C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2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0D1F3C"/>
      <name val="Arial Narrow"/>
      <family val="0"/>
      <charset val="1"/>
    </font>
    <font>
      <b val="true"/>
      <sz val="10"/>
      <color rgb="FF7B0000"/>
      <name val="Arial Narrow"/>
      <family val="0"/>
      <charset val="1"/>
    </font>
    <font>
      <b val="true"/>
      <sz val="11"/>
      <color rgb="FF7B0000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0D1F3C"/>
        <bgColor rgb="FF1A3A6B"/>
      </patternFill>
    </fill>
    <fill>
      <patternFill patternType="solid">
        <fgColor rgb="FF1A3A6B"/>
        <bgColor rgb="FF1F4E79"/>
      </patternFill>
    </fill>
    <fill>
      <patternFill patternType="solid">
        <fgColor rgb="FF2E75B6"/>
        <bgColor rgb="FF0066CC"/>
      </patternFill>
    </fill>
    <fill>
      <patternFill patternType="solid">
        <fgColor rgb="FF1F4E79"/>
        <bgColor rgb="FF1A3A6B"/>
      </patternFill>
    </fill>
    <fill>
      <patternFill patternType="solid">
        <fgColor rgb="FFD6E4F0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AFAF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375623"/>
        <bgColor rgb="FF1F4E79"/>
      </patternFill>
    </fill>
    <fill>
      <patternFill patternType="solid">
        <fgColor rgb="FF833C00"/>
        <bgColor rgb="FF993366"/>
      </patternFill>
    </fill>
    <fill>
      <patternFill patternType="solid">
        <fgColor rgb="FF4E3560"/>
        <bgColor rgb="FF1A3A6B"/>
      </patternFill>
    </fill>
    <fill>
      <patternFill patternType="solid">
        <fgColor rgb="FF7B0000"/>
        <bgColor rgb="FF800000"/>
      </patternFill>
    </fill>
    <fill>
      <patternFill patternType="solid">
        <fgColor rgb="FFF2F2F2"/>
        <bgColor rgb="FFFAFAFA"/>
      </patternFill>
    </fill>
    <fill>
      <patternFill patternType="solid">
        <fgColor rgb="FFFAFAFA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A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A6B"/>
      <rgbColor rgb="FF339966"/>
      <rgbColor rgb="FF0D1F3C"/>
      <rgbColor rgb="FF375623"/>
      <rgbColor rgb="FF833C00"/>
      <rgbColor rgb="FF993366"/>
      <rgbColor rgb="FF1F4E79"/>
      <rgbColor rgb="FF4E356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8"/>
    <col collapsed="false" customWidth="true" hidden="false" outlineLevel="0" max="4" min="4" style="0" width="7"/>
    <col collapsed="false" customWidth="true" hidden="false" outlineLevel="0" max="5" min="5" style="0" width="50"/>
    <col collapsed="false" customWidth="true" hidden="false" outlineLevel="0" max="6" min="6" style="0" width="24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8"/>
    <col collapsed="false" customWidth="true" hidden="false" outlineLevel="0" max="11" min="11" style="0" width="15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6"/>
    <col collapsed="false" customWidth="true" hidden="false" outlineLevel="0" max="16" min="16" style="0" width="2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4.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customFormat="false" ht="18" hidden="false" customHeight="true" outlineLevel="0" collapsed="false">
      <c r="A5" s="5" t="s">
        <v>18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customFormat="false" ht="21.75" hidden="false" customHeight="true" outlineLevel="0" collapsed="false">
      <c r="A6" s="6" t="s">
        <v>19</v>
      </c>
      <c r="B6" s="6" t="s">
        <v>20</v>
      </c>
      <c r="C6" s="6" t="s">
        <v>21</v>
      </c>
      <c r="D6" s="6" t="s">
        <v>22</v>
      </c>
      <c r="E6" s="7" t="s">
        <v>23</v>
      </c>
      <c r="F6" s="6" t="s">
        <v>24</v>
      </c>
      <c r="G6" s="8" t="s">
        <v>25</v>
      </c>
      <c r="H6" s="6" t="n">
        <v>3</v>
      </c>
      <c r="I6" s="6" t="s">
        <v>26</v>
      </c>
      <c r="J6" s="6"/>
      <c r="K6" s="6" t="s">
        <v>27</v>
      </c>
      <c r="L6" s="6" t="n">
        <v>0</v>
      </c>
      <c r="M6" s="6"/>
      <c r="N6" s="6"/>
      <c r="O6" s="6"/>
      <c r="P6" s="6"/>
    </row>
    <row r="7" customFormat="false" ht="21.75" hidden="false" customHeight="true" outlineLevel="0" collapsed="false">
      <c r="A7" s="9" t="s">
        <v>28</v>
      </c>
      <c r="B7" s="9" t="s">
        <v>20</v>
      </c>
      <c r="C7" s="9" t="s">
        <v>21</v>
      </c>
      <c r="D7" s="9" t="s">
        <v>22</v>
      </c>
      <c r="E7" s="10" t="s">
        <v>29</v>
      </c>
      <c r="F7" s="9" t="s">
        <v>30</v>
      </c>
      <c r="G7" s="8" t="s">
        <v>25</v>
      </c>
      <c r="H7" s="9" t="n">
        <v>3</v>
      </c>
      <c r="I7" s="9" t="s">
        <v>26</v>
      </c>
      <c r="J7" s="9"/>
      <c r="K7" s="9" t="s">
        <v>27</v>
      </c>
      <c r="L7" s="9" t="n">
        <v>0</v>
      </c>
      <c r="M7" s="9"/>
      <c r="N7" s="9"/>
      <c r="O7" s="9"/>
      <c r="P7" s="9"/>
    </row>
    <row r="8" customFormat="false" ht="21.75" hidden="false" customHeight="true" outlineLevel="0" collapsed="false">
      <c r="A8" s="6" t="s">
        <v>31</v>
      </c>
      <c r="B8" s="6" t="s">
        <v>20</v>
      </c>
      <c r="C8" s="6" t="s">
        <v>21</v>
      </c>
      <c r="D8" s="6" t="s">
        <v>22</v>
      </c>
      <c r="E8" s="7" t="s">
        <v>32</v>
      </c>
      <c r="F8" s="6" t="s">
        <v>33</v>
      </c>
      <c r="G8" s="8" t="s">
        <v>25</v>
      </c>
      <c r="H8" s="6" t="n">
        <v>2</v>
      </c>
      <c r="I8" s="6" t="s">
        <v>26</v>
      </c>
      <c r="J8" s="6"/>
      <c r="K8" s="6" t="s">
        <v>27</v>
      </c>
      <c r="L8" s="6" t="n">
        <v>0</v>
      </c>
      <c r="M8" s="6"/>
      <c r="N8" s="6"/>
      <c r="O8" s="6"/>
      <c r="P8" s="6"/>
    </row>
    <row r="9" customFormat="false" ht="21.75" hidden="false" customHeight="true" outlineLevel="0" collapsed="false">
      <c r="A9" s="9" t="s">
        <v>34</v>
      </c>
      <c r="B9" s="9" t="s">
        <v>20</v>
      </c>
      <c r="C9" s="9" t="s">
        <v>21</v>
      </c>
      <c r="D9" s="9" t="s">
        <v>22</v>
      </c>
      <c r="E9" s="10" t="s">
        <v>35</v>
      </c>
      <c r="F9" s="9" t="s">
        <v>24</v>
      </c>
      <c r="G9" s="8" t="s">
        <v>25</v>
      </c>
      <c r="H9" s="9" t="n">
        <v>3</v>
      </c>
      <c r="I9" s="9" t="s">
        <v>36</v>
      </c>
      <c r="J9" s="9"/>
      <c r="K9" s="9" t="s">
        <v>27</v>
      </c>
      <c r="L9" s="9" t="n">
        <v>0</v>
      </c>
      <c r="M9" s="9"/>
      <c r="N9" s="9"/>
      <c r="O9" s="9"/>
      <c r="P9" s="9"/>
    </row>
    <row r="10" customFormat="false" ht="21.75" hidden="false" customHeight="true" outlineLevel="0" collapsed="false">
      <c r="A10" s="6" t="s">
        <v>37</v>
      </c>
      <c r="B10" s="6" t="s">
        <v>20</v>
      </c>
      <c r="C10" s="6" t="s">
        <v>21</v>
      </c>
      <c r="D10" s="6" t="s">
        <v>38</v>
      </c>
      <c r="E10" s="7" t="s">
        <v>39</v>
      </c>
      <c r="F10" s="6" t="s">
        <v>40</v>
      </c>
      <c r="G10" s="8" t="s">
        <v>25</v>
      </c>
      <c r="H10" s="6" t="n">
        <v>3</v>
      </c>
      <c r="I10" s="6" t="s">
        <v>36</v>
      </c>
      <c r="J10" s="6"/>
      <c r="K10" s="6" t="s">
        <v>27</v>
      </c>
      <c r="L10" s="6" t="n">
        <v>0</v>
      </c>
      <c r="M10" s="6"/>
      <c r="N10" s="6"/>
      <c r="O10" s="6"/>
      <c r="P10" s="6"/>
    </row>
    <row r="11" customFormat="false" ht="21.75" hidden="false" customHeight="true" outlineLevel="0" collapsed="false">
      <c r="A11" s="9" t="s">
        <v>41</v>
      </c>
      <c r="B11" s="9" t="s">
        <v>20</v>
      </c>
      <c r="C11" s="9" t="s">
        <v>21</v>
      </c>
      <c r="D11" s="9" t="s">
        <v>22</v>
      </c>
      <c r="E11" s="10" t="s">
        <v>42</v>
      </c>
      <c r="F11" s="9" t="s">
        <v>43</v>
      </c>
      <c r="G11" s="8" t="s">
        <v>25</v>
      </c>
      <c r="H11" s="9" t="n">
        <v>3</v>
      </c>
      <c r="I11" s="9" t="s">
        <v>36</v>
      </c>
      <c r="J11" s="9"/>
      <c r="K11" s="9" t="s">
        <v>27</v>
      </c>
      <c r="L11" s="9" t="n">
        <v>0</v>
      </c>
      <c r="M11" s="9"/>
      <c r="N11" s="9"/>
      <c r="O11" s="9"/>
      <c r="P11" s="9"/>
    </row>
    <row r="12" customFormat="false" ht="21.75" hidden="false" customHeight="true" outlineLevel="0" collapsed="false">
      <c r="A12" s="6" t="s">
        <v>44</v>
      </c>
      <c r="B12" s="6" t="s">
        <v>20</v>
      </c>
      <c r="C12" s="6" t="s">
        <v>21</v>
      </c>
      <c r="D12" s="6" t="s">
        <v>38</v>
      </c>
      <c r="E12" s="7" t="s">
        <v>45</v>
      </c>
      <c r="F12" s="6" t="s">
        <v>46</v>
      </c>
      <c r="G12" s="11" t="s">
        <v>47</v>
      </c>
      <c r="H12" s="6" t="n">
        <v>3</v>
      </c>
      <c r="I12" s="6" t="s">
        <v>48</v>
      </c>
      <c r="J12" s="6"/>
      <c r="K12" s="6" t="s">
        <v>27</v>
      </c>
      <c r="L12" s="6" t="n">
        <v>0</v>
      </c>
      <c r="M12" s="6"/>
      <c r="N12" s="6"/>
      <c r="O12" s="6"/>
      <c r="P12" s="6"/>
    </row>
    <row r="13" customFormat="false" ht="21.75" hidden="false" customHeight="true" outlineLevel="0" collapsed="false">
      <c r="A13" s="9" t="s">
        <v>49</v>
      </c>
      <c r="B13" s="9" t="s">
        <v>20</v>
      </c>
      <c r="C13" s="9" t="s">
        <v>21</v>
      </c>
      <c r="D13" s="9" t="s">
        <v>38</v>
      </c>
      <c r="E13" s="10" t="s">
        <v>50</v>
      </c>
      <c r="F13" s="9" t="s">
        <v>51</v>
      </c>
      <c r="G13" s="11" t="s">
        <v>47</v>
      </c>
      <c r="H13" s="9" t="n">
        <v>2</v>
      </c>
      <c r="I13" s="9" t="s">
        <v>48</v>
      </c>
      <c r="J13" s="9"/>
      <c r="K13" s="9" t="s">
        <v>27</v>
      </c>
      <c r="L13" s="9" t="n">
        <v>0</v>
      </c>
      <c r="M13" s="9"/>
      <c r="N13" s="9"/>
      <c r="O13" s="9"/>
      <c r="P13" s="9"/>
    </row>
    <row r="14" customFormat="false" ht="21.75" hidden="false" customHeight="true" outlineLevel="0" collapsed="false">
      <c r="A14" s="6" t="s">
        <v>52</v>
      </c>
      <c r="B14" s="6" t="s">
        <v>20</v>
      </c>
      <c r="C14" s="6" t="s">
        <v>21</v>
      </c>
      <c r="D14" s="6" t="s">
        <v>38</v>
      </c>
      <c r="E14" s="7" t="s">
        <v>53</v>
      </c>
      <c r="F14" s="6" t="s">
        <v>54</v>
      </c>
      <c r="G14" s="11" t="s">
        <v>47</v>
      </c>
      <c r="H14" s="6" t="n">
        <v>3</v>
      </c>
      <c r="I14" s="6" t="s">
        <v>48</v>
      </c>
      <c r="J14" s="6"/>
      <c r="K14" s="6" t="s">
        <v>27</v>
      </c>
      <c r="L14" s="6" t="n">
        <v>0</v>
      </c>
      <c r="M14" s="6"/>
      <c r="N14" s="6"/>
      <c r="O14" s="6"/>
      <c r="P14" s="6"/>
    </row>
    <row r="15" customFormat="false" ht="21.75" hidden="false" customHeight="true" outlineLevel="0" collapsed="false">
      <c r="A15" s="9" t="s">
        <v>55</v>
      </c>
      <c r="B15" s="9" t="s">
        <v>20</v>
      </c>
      <c r="C15" s="9" t="s">
        <v>21</v>
      </c>
      <c r="D15" s="9" t="s">
        <v>22</v>
      </c>
      <c r="E15" s="10" t="s">
        <v>56</v>
      </c>
      <c r="F15" s="9" t="s">
        <v>24</v>
      </c>
      <c r="G15" s="11" t="s">
        <v>47</v>
      </c>
      <c r="H15" s="9" t="n">
        <v>2</v>
      </c>
      <c r="I15" s="9" t="s">
        <v>57</v>
      </c>
      <c r="J15" s="9"/>
      <c r="K15" s="9" t="s">
        <v>27</v>
      </c>
      <c r="L15" s="9" t="n">
        <v>0</v>
      </c>
      <c r="M15" s="9"/>
      <c r="N15" s="9"/>
      <c r="O15" s="9"/>
      <c r="P15" s="9"/>
    </row>
    <row r="16" customFormat="false" ht="21.75" hidden="false" customHeight="true" outlineLevel="0" collapsed="false">
      <c r="A16" s="6" t="s">
        <v>58</v>
      </c>
      <c r="B16" s="6" t="s">
        <v>20</v>
      </c>
      <c r="C16" s="6" t="s">
        <v>21</v>
      </c>
      <c r="D16" s="6" t="s">
        <v>22</v>
      </c>
      <c r="E16" s="7" t="s">
        <v>59</v>
      </c>
      <c r="F16" s="6" t="s">
        <v>24</v>
      </c>
      <c r="G16" s="11" t="s">
        <v>47</v>
      </c>
      <c r="H16" s="6" t="n">
        <v>2</v>
      </c>
      <c r="I16" s="6" t="s">
        <v>57</v>
      </c>
      <c r="J16" s="6"/>
      <c r="K16" s="6" t="s">
        <v>27</v>
      </c>
      <c r="L16" s="6" t="n">
        <v>0</v>
      </c>
      <c r="M16" s="6"/>
      <c r="N16" s="6"/>
      <c r="O16" s="6"/>
      <c r="P16" s="6"/>
    </row>
    <row r="17" customFormat="false" ht="21.75" hidden="false" customHeight="true" outlineLevel="0" collapsed="false">
      <c r="A17" s="9" t="s">
        <v>60</v>
      </c>
      <c r="B17" s="9" t="s">
        <v>20</v>
      </c>
      <c r="C17" s="9" t="s">
        <v>21</v>
      </c>
      <c r="D17" s="9" t="s">
        <v>38</v>
      </c>
      <c r="E17" s="10" t="s">
        <v>61</v>
      </c>
      <c r="F17" s="9" t="s">
        <v>30</v>
      </c>
      <c r="G17" s="12" t="s">
        <v>62</v>
      </c>
      <c r="H17" s="9" t="n">
        <v>3</v>
      </c>
      <c r="I17" s="9" t="s">
        <v>63</v>
      </c>
      <c r="J17" s="9"/>
      <c r="K17" s="9" t="s">
        <v>27</v>
      </c>
      <c r="L17" s="9" t="n">
        <v>0</v>
      </c>
      <c r="M17" s="9"/>
      <c r="N17" s="9"/>
      <c r="O17" s="9"/>
      <c r="P17" s="9"/>
    </row>
    <row r="18" customFormat="false" ht="18" hidden="false" customHeight="true" outlineLevel="0" collapsed="false">
      <c r="A18" s="13" t="s">
        <v>64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customFormat="false" ht="21.75" hidden="false" customHeight="true" outlineLevel="0" collapsed="false">
      <c r="A19" s="9" t="s">
        <v>65</v>
      </c>
      <c r="B19" s="9" t="s">
        <v>66</v>
      </c>
      <c r="C19" s="9" t="s">
        <v>67</v>
      </c>
      <c r="D19" s="9" t="s">
        <v>68</v>
      </c>
      <c r="E19" s="10" t="s">
        <v>69</v>
      </c>
      <c r="F19" s="9" t="s">
        <v>46</v>
      </c>
      <c r="G19" s="8" t="s">
        <v>25</v>
      </c>
      <c r="H19" s="9" t="n">
        <v>1</v>
      </c>
      <c r="I19" s="9" t="s">
        <v>26</v>
      </c>
      <c r="J19" s="9"/>
      <c r="K19" s="9" t="s">
        <v>27</v>
      </c>
      <c r="L19" s="9" t="n">
        <v>0</v>
      </c>
      <c r="M19" s="9"/>
      <c r="N19" s="9"/>
      <c r="O19" s="9"/>
      <c r="P19" s="9"/>
    </row>
    <row r="20" customFormat="false" ht="21.75" hidden="false" customHeight="true" outlineLevel="0" collapsed="false">
      <c r="A20" s="6" t="s">
        <v>70</v>
      </c>
      <c r="B20" s="6" t="s">
        <v>66</v>
      </c>
      <c r="C20" s="6" t="s">
        <v>67</v>
      </c>
      <c r="D20" s="6" t="s">
        <v>68</v>
      </c>
      <c r="E20" s="7" t="s">
        <v>71</v>
      </c>
      <c r="F20" s="6" t="s">
        <v>46</v>
      </c>
      <c r="G20" s="8" t="s">
        <v>25</v>
      </c>
      <c r="H20" s="6" t="n">
        <v>2</v>
      </c>
      <c r="I20" s="6" t="s">
        <v>26</v>
      </c>
      <c r="J20" s="6"/>
      <c r="K20" s="6" t="s">
        <v>27</v>
      </c>
      <c r="L20" s="6" t="n">
        <v>0</v>
      </c>
      <c r="M20" s="6"/>
      <c r="N20" s="6"/>
      <c r="O20" s="6"/>
      <c r="P20" s="6"/>
    </row>
    <row r="21" customFormat="false" ht="21.75" hidden="false" customHeight="true" outlineLevel="0" collapsed="false">
      <c r="A21" s="9" t="s">
        <v>72</v>
      </c>
      <c r="B21" s="9" t="s">
        <v>66</v>
      </c>
      <c r="C21" s="9" t="s">
        <v>67</v>
      </c>
      <c r="D21" s="9" t="s">
        <v>22</v>
      </c>
      <c r="E21" s="10" t="s">
        <v>73</v>
      </c>
      <c r="F21" s="9" t="s">
        <v>74</v>
      </c>
      <c r="G21" s="8" t="s">
        <v>25</v>
      </c>
      <c r="H21" s="9" t="n">
        <v>1</v>
      </c>
      <c r="I21" s="9" t="s">
        <v>26</v>
      </c>
      <c r="J21" s="9"/>
      <c r="K21" s="9" t="s">
        <v>27</v>
      </c>
      <c r="L21" s="9" t="n">
        <v>0</v>
      </c>
      <c r="M21" s="9"/>
      <c r="N21" s="9"/>
      <c r="O21" s="9"/>
      <c r="P21" s="9"/>
    </row>
    <row r="22" customFormat="false" ht="21.75" hidden="false" customHeight="true" outlineLevel="0" collapsed="false">
      <c r="A22" s="6" t="s">
        <v>75</v>
      </c>
      <c r="B22" s="6" t="s">
        <v>66</v>
      </c>
      <c r="C22" s="6" t="s">
        <v>67</v>
      </c>
      <c r="D22" s="6" t="s">
        <v>68</v>
      </c>
      <c r="E22" s="7" t="s">
        <v>76</v>
      </c>
      <c r="F22" s="6" t="s">
        <v>74</v>
      </c>
      <c r="G22" s="8" t="s">
        <v>25</v>
      </c>
      <c r="H22" s="6" t="n">
        <v>1</v>
      </c>
      <c r="I22" s="6" t="s">
        <v>36</v>
      </c>
      <c r="J22" s="6"/>
      <c r="K22" s="6" t="s">
        <v>27</v>
      </c>
      <c r="L22" s="6" t="n">
        <v>0</v>
      </c>
      <c r="M22" s="6"/>
      <c r="N22" s="6"/>
      <c r="O22" s="6"/>
      <c r="P22" s="6"/>
    </row>
    <row r="23" customFormat="false" ht="21.75" hidden="false" customHeight="true" outlineLevel="0" collapsed="false">
      <c r="A23" s="9" t="s">
        <v>77</v>
      </c>
      <c r="B23" s="9" t="s">
        <v>66</v>
      </c>
      <c r="C23" s="9" t="s">
        <v>67</v>
      </c>
      <c r="D23" s="9" t="s">
        <v>38</v>
      </c>
      <c r="E23" s="10" t="s">
        <v>78</v>
      </c>
      <c r="F23" s="9" t="s">
        <v>43</v>
      </c>
      <c r="G23" s="8" t="s">
        <v>25</v>
      </c>
      <c r="H23" s="9" t="n">
        <v>2</v>
      </c>
      <c r="I23" s="9" t="s">
        <v>36</v>
      </c>
      <c r="J23" s="9"/>
      <c r="K23" s="9" t="s">
        <v>27</v>
      </c>
      <c r="L23" s="9" t="n">
        <v>0</v>
      </c>
      <c r="M23" s="9"/>
      <c r="N23" s="9"/>
      <c r="O23" s="9"/>
      <c r="P23" s="9"/>
    </row>
    <row r="24" customFormat="false" ht="21.75" hidden="false" customHeight="true" outlineLevel="0" collapsed="false">
      <c r="A24" s="6" t="s">
        <v>79</v>
      </c>
      <c r="B24" s="6" t="s">
        <v>66</v>
      </c>
      <c r="C24" s="6" t="s">
        <v>67</v>
      </c>
      <c r="D24" s="6" t="s">
        <v>38</v>
      </c>
      <c r="E24" s="7" t="s">
        <v>80</v>
      </c>
      <c r="F24" s="6" t="s">
        <v>43</v>
      </c>
      <c r="G24" s="8" t="s">
        <v>25</v>
      </c>
      <c r="H24" s="6" t="n">
        <v>2</v>
      </c>
      <c r="I24" s="6" t="s">
        <v>36</v>
      </c>
      <c r="J24" s="6"/>
      <c r="K24" s="6" t="s">
        <v>27</v>
      </c>
      <c r="L24" s="6" t="n">
        <v>0</v>
      </c>
      <c r="M24" s="6"/>
      <c r="N24" s="6"/>
      <c r="O24" s="6"/>
      <c r="P24" s="6"/>
    </row>
    <row r="25" customFormat="false" ht="21.75" hidden="false" customHeight="true" outlineLevel="0" collapsed="false">
      <c r="A25" s="9" t="s">
        <v>81</v>
      </c>
      <c r="B25" s="9" t="s">
        <v>66</v>
      </c>
      <c r="C25" s="9" t="s">
        <v>67</v>
      </c>
      <c r="D25" s="9" t="s">
        <v>68</v>
      </c>
      <c r="E25" s="10" t="s">
        <v>82</v>
      </c>
      <c r="F25" s="9" t="s">
        <v>83</v>
      </c>
      <c r="G25" s="8" t="s">
        <v>25</v>
      </c>
      <c r="H25" s="9" t="n">
        <v>1</v>
      </c>
      <c r="I25" s="9" t="s">
        <v>36</v>
      </c>
      <c r="J25" s="9"/>
      <c r="K25" s="9" t="s">
        <v>27</v>
      </c>
      <c r="L25" s="9" t="n">
        <v>0</v>
      </c>
      <c r="M25" s="9"/>
      <c r="N25" s="9"/>
      <c r="O25" s="9"/>
      <c r="P25" s="9"/>
    </row>
    <row r="26" customFormat="false" ht="21.75" hidden="false" customHeight="true" outlineLevel="0" collapsed="false">
      <c r="A26" s="6" t="s">
        <v>84</v>
      </c>
      <c r="B26" s="6" t="s">
        <v>66</v>
      </c>
      <c r="C26" s="6" t="s">
        <v>67</v>
      </c>
      <c r="D26" s="6" t="s">
        <v>68</v>
      </c>
      <c r="E26" s="7" t="s">
        <v>85</v>
      </c>
      <c r="F26" s="6" t="s">
        <v>86</v>
      </c>
      <c r="G26" s="8" t="s">
        <v>25</v>
      </c>
      <c r="H26" s="6" t="n">
        <v>2</v>
      </c>
      <c r="I26" s="6" t="s">
        <v>36</v>
      </c>
      <c r="J26" s="6"/>
      <c r="K26" s="6" t="s">
        <v>27</v>
      </c>
      <c r="L26" s="6" t="n">
        <v>0</v>
      </c>
      <c r="M26" s="6"/>
      <c r="N26" s="6"/>
      <c r="O26" s="6"/>
      <c r="P26" s="6"/>
    </row>
    <row r="27" customFormat="false" ht="21.75" hidden="false" customHeight="true" outlineLevel="0" collapsed="false">
      <c r="A27" s="9" t="s">
        <v>87</v>
      </c>
      <c r="B27" s="9" t="s">
        <v>66</v>
      </c>
      <c r="C27" s="9" t="s">
        <v>67</v>
      </c>
      <c r="D27" s="9" t="s">
        <v>68</v>
      </c>
      <c r="E27" s="10" t="s">
        <v>88</v>
      </c>
      <c r="F27" s="9" t="s">
        <v>89</v>
      </c>
      <c r="G27" s="11" t="s">
        <v>47</v>
      </c>
      <c r="H27" s="9" t="n">
        <v>1</v>
      </c>
      <c r="I27" s="9" t="s">
        <v>48</v>
      </c>
      <c r="J27" s="9"/>
      <c r="K27" s="9" t="s">
        <v>27</v>
      </c>
      <c r="L27" s="9" t="n">
        <v>0</v>
      </c>
      <c r="M27" s="9"/>
      <c r="N27" s="9"/>
      <c r="O27" s="9"/>
      <c r="P27" s="9"/>
    </row>
    <row r="28" customFormat="false" ht="21.75" hidden="false" customHeight="true" outlineLevel="0" collapsed="false">
      <c r="A28" s="6" t="s">
        <v>90</v>
      </c>
      <c r="B28" s="6" t="s">
        <v>66</v>
      </c>
      <c r="C28" s="6" t="s">
        <v>67</v>
      </c>
      <c r="D28" s="6" t="s">
        <v>68</v>
      </c>
      <c r="E28" s="7" t="s">
        <v>91</v>
      </c>
      <c r="F28" s="6" t="s">
        <v>92</v>
      </c>
      <c r="G28" s="11" t="s">
        <v>47</v>
      </c>
      <c r="H28" s="6" t="n">
        <v>1</v>
      </c>
      <c r="I28" s="6" t="s">
        <v>48</v>
      </c>
      <c r="J28" s="6"/>
      <c r="K28" s="6" t="s">
        <v>27</v>
      </c>
      <c r="L28" s="6" t="n">
        <v>0</v>
      </c>
      <c r="M28" s="6"/>
      <c r="N28" s="6"/>
      <c r="O28" s="6"/>
      <c r="P28" s="6"/>
    </row>
    <row r="29" customFormat="false" ht="18" hidden="false" customHeight="true" outlineLevel="0" collapsed="false">
      <c r="A29" s="14" t="s">
        <v>93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</row>
    <row r="30" customFormat="false" ht="21.75" hidden="false" customHeight="true" outlineLevel="0" collapsed="false">
      <c r="A30" s="6" t="s">
        <v>94</v>
      </c>
      <c r="B30" s="6" t="s">
        <v>95</v>
      </c>
      <c r="C30" s="6" t="s">
        <v>67</v>
      </c>
      <c r="D30" s="6" t="s">
        <v>96</v>
      </c>
      <c r="E30" s="7" t="s">
        <v>97</v>
      </c>
      <c r="F30" s="6" t="s">
        <v>86</v>
      </c>
      <c r="G30" s="8" t="s">
        <v>25</v>
      </c>
      <c r="H30" s="6" t="n">
        <v>2</v>
      </c>
      <c r="I30" s="6" t="s">
        <v>36</v>
      </c>
      <c r="J30" s="6"/>
      <c r="K30" s="6" t="s">
        <v>27</v>
      </c>
      <c r="L30" s="6" t="n">
        <v>0</v>
      </c>
      <c r="M30" s="6"/>
      <c r="N30" s="6"/>
      <c r="O30" s="6"/>
      <c r="P30" s="6"/>
    </row>
    <row r="31" customFormat="false" ht="21.75" hidden="false" customHeight="true" outlineLevel="0" collapsed="false">
      <c r="A31" s="9" t="s">
        <v>98</v>
      </c>
      <c r="B31" s="9" t="s">
        <v>95</v>
      </c>
      <c r="C31" s="9" t="s">
        <v>67</v>
      </c>
      <c r="D31" s="9" t="s">
        <v>38</v>
      </c>
      <c r="E31" s="10" t="s">
        <v>99</v>
      </c>
      <c r="F31" s="9" t="s">
        <v>54</v>
      </c>
      <c r="G31" s="8" t="s">
        <v>25</v>
      </c>
      <c r="H31" s="9" t="n">
        <v>3</v>
      </c>
      <c r="I31" s="9" t="s">
        <v>36</v>
      </c>
      <c r="J31" s="9"/>
      <c r="K31" s="9" t="s">
        <v>27</v>
      </c>
      <c r="L31" s="9" t="n">
        <v>0</v>
      </c>
      <c r="M31" s="9"/>
      <c r="N31" s="9"/>
      <c r="O31" s="9"/>
      <c r="P31" s="9"/>
    </row>
    <row r="32" customFormat="false" ht="21.75" hidden="false" customHeight="true" outlineLevel="0" collapsed="false">
      <c r="A32" s="6" t="s">
        <v>100</v>
      </c>
      <c r="B32" s="6" t="s">
        <v>95</v>
      </c>
      <c r="C32" s="6" t="s">
        <v>67</v>
      </c>
      <c r="D32" s="6" t="s">
        <v>96</v>
      </c>
      <c r="E32" s="7" t="s">
        <v>101</v>
      </c>
      <c r="F32" s="6" t="s">
        <v>54</v>
      </c>
      <c r="G32" s="8" t="s">
        <v>25</v>
      </c>
      <c r="H32" s="6" t="n">
        <v>2</v>
      </c>
      <c r="I32" s="6" t="s">
        <v>48</v>
      </c>
      <c r="J32" s="6"/>
      <c r="K32" s="6" t="s">
        <v>27</v>
      </c>
      <c r="L32" s="6" t="n">
        <v>0</v>
      </c>
      <c r="M32" s="6"/>
      <c r="N32" s="6"/>
      <c r="O32" s="6"/>
      <c r="P32" s="6"/>
    </row>
    <row r="33" customFormat="false" ht="21.75" hidden="false" customHeight="true" outlineLevel="0" collapsed="false">
      <c r="A33" s="9" t="s">
        <v>102</v>
      </c>
      <c r="B33" s="9" t="s">
        <v>95</v>
      </c>
      <c r="C33" s="9" t="s">
        <v>67</v>
      </c>
      <c r="D33" s="9" t="s">
        <v>68</v>
      </c>
      <c r="E33" s="10" t="s">
        <v>103</v>
      </c>
      <c r="F33" s="9" t="s">
        <v>83</v>
      </c>
      <c r="G33" s="11" t="s">
        <v>47</v>
      </c>
      <c r="H33" s="9" t="n">
        <v>2</v>
      </c>
      <c r="I33" s="9" t="s">
        <v>48</v>
      </c>
      <c r="J33" s="9"/>
      <c r="K33" s="9" t="s">
        <v>27</v>
      </c>
      <c r="L33" s="9" t="n">
        <v>0</v>
      </c>
      <c r="M33" s="9"/>
      <c r="N33" s="9"/>
      <c r="O33" s="9"/>
      <c r="P33" s="9"/>
    </row>
    <row r="34" customFormat="false" ht="21.75" hidden="false" customHeight="true" outlineLevel="0" collapsed="false">
      <c r="A34" s="6" t="s">
        <v>104</v>
      </c>
      <c r="B34" s="6" t="s">
        <v>95</v>
      </c>
      <c r="C34" s="6" t="s">
        <v>67</v>
      </c>
      <c r="D34" s="6" t="s">
        <v>38</v>
      </c>
      <c r="E34" s="7" t="s">
        <v>105</v>
      </c>
      <c r="F34" s="6" t="s">
        <v>83</v>
      </c>
      <c r="G34" s="11" t="s">
        <v>47</v>
      </c>
      <c r="H34" s="6" t="n">
        <v>2</v>
      </c>
      <c r="I34" s="6" t="s">
        <v>48</v>
      </c>
      <c r="J34" s="6"/>
      <c r="K34" s="6" t="s">
        <v>27</v>
      </c>
      <c r="L34" s="6" t="n">
        <v>0</v>
      </c>
      <c r="M34" s="6"/>
      <c r="N34" s="6"/>
      <c r="O34" s="6"/>
      <c r="P34" s="6"/>
    </row>
    <row r="35" customFormat="false" ht="21.75" hidden="false" customHeight="true" outlineLevel="0" collapsed="false">
      <c r="A35" s="9" t="s">
        <v>106</v>
      </c>
      <c r="B35" s="9" t="s">
        <v>95</v>
      </c>
      <c r="C35" s="9" t="s">
        <v>67</v>
      </c>
      <c r="D35" s="9" t="s">
        <v>96</v>
      </c>
      <c r="E35" s="10" t="s">
        <v>107</v>
      </c>
      <c r="F35" s="9" t="s">
        <v>108</v>
      </c>
      <c r="G35" s="8" t="s">
        <v>25</v>
      </c>
      <c r="H35" s="9" t="n">
        <v>2</v>
      </c>
      <c r="I35" s="9" t="s">
        <v>36</v>
      </c>
      <c r="J35" s="9"/>
      <c r="K35" s="9" t="s">
        <v>27</v>
      </c>
      <c r="L35" s="9" t="n">
        <v>0</v>
      </c>
      <c r="M35" s="9"/>
      <c r="N35" s="9"/>
      <c r="O35" s="9"/>
      <c r="P35" s="9"/>
    </row>
    <row r="36" customFormat="false" ht="21.75" hidden="false" customHeight="true" outlineLevel="0" collapsed="false">
      <c r="A36" s="6" t="s">
        <v>109</v>
      </c>
      <c r="B36" s="6" t="s">
        <v>95</v>
      </c>
      <c r="C36" s="6" t="s">
        <v>67</v>
      </c>
      <c r="D36" s="6" t="s">
        <v>96</v>
      </c>
      <c r="E36" s="7" t="s">
        <v>110</v>
      </c>
      <c r="F36" s="6" t="s">
        <v>108</v>
      </c>
      <c r="G36" s="8" t="s">
        <v>25</v>
      </c>
      <c r="H36" s="6" t="n">
        <v>2</v>
      </c>
      <c r="I36" s="6" t="s">
        <v>36</v>
      </c>
      <c r="J36" s="6"/>
      <c r="K36" s="6" t="s">
        <v>27</v>
      </c>
      <c r="L36" s="6" t="n">
        <v>0</v>
      </c>
      <c r="M36" s="6"/>
      <c r="N36" s="6"/>
      <c r="O36" s="6"/>
      <c r="P36" s="6"/>
    </row>
    <row r="37" customFormat="false" ht="21.75" hidden="false" customHeight="true" outlineLevel="0" collapsed="false">
      <c r="A37" s="9" t="s">
        <v>111</v>
      </c>
      <c r="B37" s="9" t="s">
        <v>95</v>
      </c>
      <c r="C37" s="9" t="s">
        <v>67</v>
      </c>
      <c r="D37" s="9" t="s">
        <v>38</v>
      </c>
      <c r="E37" s="10" t="s">
        <v>112</v>
      </c>
      <c r="F37" s="9" t="s">
        <v>113</v>
      </c>
      <c r="G37" s="8" t="s">
        <v>25</v>
      </c>
      <c r="H37" s="9" t="n">
        <v>2</v>
      </c>
      <c r="I37" s="9" t="s">
        <v>48</v>
      </c>
      <c r="J37" s="9"/>
      <c r="K37" s="9" t="s">
        <v>27</v>
      </c>
      <c r="L37" s="9" t="n">
        <v>0</v>
      </c>
      <c r="M37" s="9"/>
      <c r="N37" s="9"/>
      <c r="O37" s="9"/>
      <c r="P37" s="9"/>
    </row>
    <row r="38" customFormat="false" ht="21.75" hidden="false" customHeight="true" outlineLevel="0" collapsed="false">
      <c r="A38" s="6" t="s">
        <v>114</v>
      </c>
      <c r="B38" s="6" t="s">
        <v>95</v>
      </c>
      <c r="C38" s="6" t="s">
        <v>67</v>
      </c>
      <c r="D38" s="6" t="s">
        <v>38</v>
      </c>
      <c r="E38" s="7" t="s">
        <v>115</v>
      </c>
      <c r="F38" s="6" t="s">
        <v>116</v>
      </c>
      <c r="G38" s="8" t="s">
        <v>25</v>
      </c>
      <c r="H38" s="6" t="n">
        <v>3</v>
      </c>
      <c r="I38" s="6" t="s">
        <v>48</v>
      </c>
      <c r="J38" s="6"/>
      <c r="K38" s="6" t="s">
        <v>27</v>
      </c>
      <c r="L38" s="6" t="n">
        <v>0</v>
      </c>
      <c r="M38" s="6"/>
      <c r="N38" s="6"/>
      <c r="O38" s="6"/>
      <c r="P38" s="6"/>
    </row>
    <row r="39" customFormat="false" ht="21.75" hidden="false" customHeight="true" outlineLevel="0" collapsed="false">
      <c r="A39" s="9" t="s">
        <v>117</v>
      </c>
      <c r="B39" s="9" t="s">
        <v>95</v>
      </c>
      <c r="C39" s="9" t="s">
        <v>67</v>
      </c>
      <c r="D39" s="9" t="s">
        <v>38</v>
      </c>
      <c r="E39" s="10" t="s">
        <v>118</v>
      </c>
      <c r="F39" s="9" t="s">
        <v>119</v>
      </c>
      <c r="G39" s="11" t="s">
        <v>47</v>
      </c>
      <c r="H39" s="9" t="n">
        <v>2</v>
      </c>
      <c r="I39" s="9" t="s">
        <v>57</v>
      </c>
      <c r="J39" s="9"/>
      <c r="K39" s="9" t="s">
        <v>27</v>
      </c>
      <c r="L39" s="9" t="n">
        <v>0</v>
      </c>
      <c r="M39" s="9"/>
      <c r="N39" s="9"/>
      <c r="O39" s="9"/>
      <c r="P39" s="9"/>
    </row>
    <row r="40" customFormat="false" ht="21.75" hidden="false" customHeight="true" outlineLevel="0" collapsed="false">
      <c r="A40" s="6" t="s">
        <v>120</v>
      </c>
      <c r="B40" s="6" t="s">
        <v>95</v>
      </c>
      <c r="C40" s="6" t="s">
        <v>67</v>
      </c>
      <c r="D40" s="6" t="s">
        <v>38</v>
      </c>
      <c r="E40" s="7" t="s">
        <v>121</v>
      </c>
      <c r="F40" s="6" t="s">
        <v>119</v>
      </c>
      <c r="G40" s="11" t="s">
        <v>47</v>
      </c>
      <c r="H40" s="6" t="n">
        <v>2</v>
      </c>
      <c r="I40" s="6" t="s">
        <v>57</v>
      </c>
      <c r="J40" s="6"/>
      <c r="K40" s="6" t="s">
        <v>27</v>
      </c>
      <c r="L40" s="6" t="n">
        <v>0</v>
      </c>
      <c r="M40" s="6"/>
      <c r="N40" s="6"/>
      <c r="O40" s="6"/>
      <c r="P40" s="6"/>
    </row>
    <row r="41" customFormat="false" ht="18" hidden="false" customHeight="true" outlineLevel="0" collapsed="false">
      <c r="A41" s="15" t="s">
        <v>122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customFormat="false" ht="21.75" hidden="false" customHeight="true" outlineLevel="0" collapsed="false">
      <c r="A42" s="6" t="s">
        <v>123</v>
      </c>
      <c r="B42" s="6" t="s">
        <v>124</v>
      </c>
      <c r="C42" s="6" t="s">
        <v>67</v>
      </c>
      <c r="D42" s="6" t="s">
        <v>68</v>
      </c>
      <c r="E42" s="7" t="s">
        <v>125</v>
      </c>
      <c r="F42" s="6" t="s">
        <v>89</v>
      </c>
      <c r="G42" s="11" t="s">
        <v>47</v>
      </c>
      <c r="H42" s="6" t="n">
        <v>2</v>
      </c>
      <c r="I42" s="6" t="s">
        <v>48</v>
      </c>
      <c r="J42" s="6"/>
      <c r="K42" s="6" t="s">
        <v>27</v>
      </c>
      <c r="L42" s="6" t="n">
        <v>0</v>
      </c>
      <c r="M42" s="6"/>
      <c r="N42" s="6"/>
      <c r="O42" s="6"/>
      <c r="P42" s="6"/>
    </row>
    <row r="43" customFormat="false" ht="21.75" hidden="false" customHeight="true" outlineLevel="0" collapsed="false">
      <c r="A43" s="9" t="s">
        <v>126</v>
      </c>
      <c r="B43" s="9" t="s">
        <v>124</v>
      </c>
      <c r="C43" s="9" t="s">
        <v>67</v>
      </c>
      <c r="D43" s="9" t="s">
        <v>38</v>
      </c>
      <c r="E43" s="10" t="s">
        <v>127</v>
      </c>
      <c r="F43" s="9" t="s">
        <v>128</v>
      </c>
      <c r="G43" s="8" t="s">
        <v>25</v>
      </c>
      <c r="H43" s="9" t="n">
        <v>2</v>
      </c>
      <c r="I43" s="9" t="s">
        <v>48</v>
      </c>
      <c r="J43" s="9"/>
      <c r="K43" s="9" t="s">
        <v>27</v>
      </c>
      <c r="L43" s="9" t="n">
        <v>0</v>
      </c>
      <c r="M43" s="9"/>
      <c r="N43" s="9"/>
      <c r="O43" s="9"/>
      <c r="P43" s="9"/>
    </row>
    <row r="44" customFormat="false" ht="21.75" hidden="false" customHeight="true" outlineLevel="0" collapsed="false">
      <c r="A44" s="6" t="s">
        <v>129</v>
      </c>
      <c r="B44" s="6" t="s">
        <v>124</v>
      </c>
      <c r="C44" s="6" t="s">
        <v>67</v>
      </c>
      <c r="D44" s="6" t="s">
        <v>38</v>
      </c>
      <c r="E44" s="7" t="s">
        <v>130</v>
      </c>
      <c r="F44" s="6" t="s">
        <v>131</v>
      </c>
      <c r="G44" s="11" t="s">
        <v>47</v>
      </c>
      <c r="H44" s="6" t="n">
        <v>3</v>
      </c>
      <c r="I44" s="6" t="s">
        <v>57</v>
      </c>
      <c r="J44" s="6"/>
      <c r="K44" s="6" t="s">
        <v>27</v>
      </c>
      <c r="L44" s="6" t="n">
        <v>0</v>
      </c>
      <c r="M44" s="6"/>
      <c r="N44" s="6"/>
      <c r="O44" s="6"/>
      <c r="P44" s="6"/>
    </row>
    <row r="45" customFormat="false" ht="21.75" hidden="false" customHeight="true" outlineLevel="0" collapsed="false">
      <c r="A45" s="9" t="s">
        <v>132</v>
      </c>
      <c r="B45" s="9" t="s">
        <v>124</v>
      </c>
      <c r="C45" s="9" t="s">
        <v>67</v>
      </c>
      <c r="D45" s="9" t="s">
        <v>96</v>
      </c>
      <c r="E45" s="10" t="s">
        <v>133</v>
      </c>
      <c r="F45" s="9" t="s">
        <v>134</v>
      </c>
      <c r="G45" s="11" t="s">
        <v>47</v>
      </c>
      <c r="H45" s="9" t="n">
        <v>2</v>
      </c>
      <c r="I45" s="9" t="s">
        <v>57</v>
      </c>
      <c r="J45" s="9"/>
      <c r="K45" s="9" t="s">
        <v>27</v>
      </c>
      <c r="L45" s="9" t="n">
        <v>0</v>
      </c>
      <c r="M45" s="9"/>
      <c r="N45" s="9"/>
      <c r="O45" s="9"/>
      <c r="P45" s="9"/>
    </row>
    <row r="46" customFormat="false" ht="21.75" hidden="false" customHeight="true" outlineLevel="0" collapsed="false">
      <c r="A46" s="6" t="s">
        <v>135</v>
      </c>
      <c r="B46" s="6" t="s">
        <v>124</v>
      </c>
      <c r="C46" s="6" t="s">
        <v>67</v>
      </c>
      <c r="D46" s="6" t="s">
        <v>96</v>
      </c>
      <c r="E46" s="7" t="s">
        <v>136</v>
      </c>
      <c r="F46" s="6" t="s">
        <v>134</v>
      </c>
      <c r="G46" s="11" t="s">
        <v>47</v>
      </c>
      <c r="H46" s="6" t="n">
        <v>2</v>
      </c>
      <c r="I46" s="6" t="s">
        <v>57</v>
      </c>
      <c r="J46" s="6"/>
      <c r="K46" s="6" t="s">
        <v>27</v>
      </c>
      <c r="L46" s="6" t="n">
        <v>0</v>
      </c>
      <c r="M46" s="6"/>
      <c r="N46" s="6"/>
      <c r="O46" s="6"/>
      <c r="P46" s="6"/>
    </row>
    <row r="47" customFormat="false" ht="21.75" hidden="false" customHeight="true" outlineLevel="0" collapsed="false">
      <c r="A47" s="9" t="s">
        <v>137</v>
      </c>
      <c r="B47" s="9" t="s">
        <v>124</v>
      </c>
      <c r="C47" s="9" t="s">
        <v>67</v>
      </c>
      <c r="D47" s="9" t="s">
        <v>68</v>
      </c>
      <c r="E47" s="10" t="s">
        <v>138</v>
      </c>
      <c r="F47" s="9" t="s">
        <v>139</v>
      </c>
      <c r="G47" s="12" t="s">
        <v>62</v>
      </c>
      <c r="H47" s="9" t="n">
        <v>1</v>
      </c>
      <c r="I47" s="9" t="s">
        <v>63</v>
      </c>
      <c r="J47" s="9"/>
      <c r="K47" s="9" t="s">
        <v>27</v>
      </c>
      <c r="L47" s="9" t="n">
        <v>0</v>
      </c>
      <c r="M47" s="9"/>
      <c r="N47" s="9"/>
      <c r="O47" s="9"/>
      <c r="P47" s="9"/>
    </row>
    <row r="48" customFormat="false" ht="21.75" hidden="false" customHeight="true" outlineLevel="0" collapsed="false">
      <c r="A48" s="6" t="s">
        <v>140</v>
      </c>
      <c r="B48" s="6" t="s">
        <v>124</v>
      </c>
      <c r="C48" s="6" t="s">
        <v>67</v>
      </c>
      <c r="D48" s="6" t="s">
        <v>68</v>
      </c>
      <c r="E48" s="7" t="s">
        <v>141</v>
      </c>
      <c r="F48" s="6" t="s">
        <v>142</v>
      </c>
      <c r="G48" s="12" t="s">
        <v>62</v>
      </c>
      <c r="H48" s="6" t="n">
        <v>1</v>
      </c>
      <c r="I48" s="6" t="s">
        <v>63</v>
      </c>
      <c r="J48" s="6"/>
      <c r="K48" s="6" t="s">
        <v>27</v>
      </c>
      <c r="L48" s="6" t="n">
        <v>0</v>
      </c>
      <c r="M48" s="6"/>
      <c r="N48" s="6"/>
      <c r="O48" s="6"/>
      <c r="P48" s="6"/>
    </row>
    <row r="49" customFormat="false" ht="21.75" hidden="false" customHeight="true" outlineLevel="0" collapsed="false">
      <c r="A49" s="9" t="s">
        <v>143</v>
      </c>
      <c r="B49" s="9" t="s">
        <v>124</v>
      </c>
      <c r="C49" s="9" t="s">
        <v>67</v>
      </c>
      <c r="D49" s="9" t="s">
        <v>68</v>
      </c>
      <c r="E49" s="10" t="s">
        <v>144</v>
      </c>
      <c r="F49" s="9" t="s">
        <v>145</v>
      </c>
      <c r="G49" s="12" t="s">
        <v>62</v>
      </c>
      <c r="H49" s="9" t="n">
        <v>1</v>
      </c>
      <c r="I49" s="9" t="s">
        <v>63</v>
      </c>
      <c r="J49" s="9"/>
      <c r="K49" s="9" t="s">
        <v>27</v>
      </c>
      <c r="L49" s="9" t="n">
        <v>0</v>
      </c>
      <c r="M49" s="9"/>
      <c r="N49" s="9"/>
      <c r="O49" s="9"/>
      <c r="P49" s="9"/>
    </row>
    <row r="50" customFormat="false" ht="21.75" hidden="false" customHeight="true" outlineLevel="0" collapsed="false">
      <c r="A50" s="6" t="s">
        <v>146</v>
      </c>
      <c r="B50" s="6" t="s">
        <v>124</v>
      </c>
      <c r="C50" s="6" t="s">
        <v>67</v>
      </c>
      <c r="D50" s="6" t="s">
        <v>96</v>
      </c>
      <c r="E50" s="7" t="s">
        <v>147</v>
      </c>
      <c r="F50" s="6" t="s">
        <v>89</v>
      </c>
      <c r="G50" s="11" t="s">
        <v>47</v>
      </c>
      <c r="H50" s="6" t="n">
        <v>2</v>
      </c>
      <c r="I50" s="6" t="s">
        <v>57</v>
      </c>
      <c r="J50" s="6"/>
      <c r="K50" s="6" t="s">
        <v>27</v>
      </c>
      <c r="L50" s="6" t="n">
        <v>0</v>
      </c>
      <c r="M50" s="6"/>
      <c r="N50" s="6"/>
      <c r="O50" s="6"/>
      <c r="P50" s="6"/>
    </row>
    <row r="51" customFormat="false" ht="18" hidden="false" customHeight="true" outlineLevel="0" collapsed="false">
      <c r="A51" s="16" t="s">
        <v>148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</row>
    <row r="52" customFormat="false" ht="21.75" hidden="false" customHeight="true" outlineLevel="0" collapsed="false">
      <c r="A52" s="6" t="s">
        <v>149</v>
      </c>
      <c r="B52" s="6" t="s">
        <v>150</v>
      </c>
      <c r="C52" s="6" t="s">
        <v>67</v>
      </c>
      <c r="D52" s="6" t="s">
        <v>96</v>
      </c>
      <c r="E52" s="7" t="s">
        <v>151</v>
      </c>
      <c r="F52" s="6" t="s">
        <v>92</v>
      </c>
      <c r="G52" s="8" t="s">
        <v>25</v>
      </c>
      <c r="H52" s="6" t="n">
        <v>2</v>
      </c>
      <c r="I52" s="6" t="s">
        <v>48</v>
      </c>
      <c r="J52" s="6"/>
      <c r="K52" s="6" t="s">
        <v>27</v>
      </c>
      <c r="L52" s="6" t="n">
        <v>0</v>
      </c>
      <c r="M52" s="6"/>
      <c r="N52" s="6"/>
      <c r="O52" s="6"/>
      <c r="P52" s="6"/>
    </row>
    <row r="53" customFormat="false" ht="21.75" hidden="false" customHeight="true" outlineLevel="0" collapsed="false">
      <c r="A53" s="9" t="s">
        <v>152</v>
      </c>
      <c r="B53" s="9" t="s">
        <v>150</v>
      </c>
      <c r="C53" s="9" t="s">
        <v>67</v>
      </c>
      <c r="D53" s="9" t="s">
        <v>96</v>
      </c>
      <c r="E53" s="10" t="s">
        <v>153</v>
      </c>
      <c r="F53" s="9" t="s">
        <v>92</v>
      </c>
      <c r="G53" s="8" t="s">
        <v>25</v>
      </c>
      <c r="H53" s="9" t="n">
        <v>2</v>
      </c>
      <c r="I53" s="9" t="s">
        <v>48</v>
      </c>
      <c r="J53" s="9"/>
      <c r="K53" s="9" t="s">
        <v>27</v>
      </c>
      <c r="L53" s="9" t="n">
        <v>0</v>
      </c>
      <c r="M53" s="9"/>
      <c r="N53" s="9"/>
      <c r="O53" s="9"/>
      <c r="P53" s="9"/>
    </row>
    <row r="54" customFormat="false" ht="21.75" hidden="false" customHeight="true" outlineLevel="0" collapsed="false">
      <c r="A54" s="6" t="s">
        <v>154</v>
      </c>
      <c r="B54" s="6" t="s">
        <v>150</v>
      </c>
      <c r="C54" s="6" t="s">
        <v>67</v>
      </c>
      <c r="D54" s="6" t="s">
        <v>38</v>
      </c>
      <c r="E54" s="7" t="s">
        <v>155</v>
      </c>
      <c r="F54" s="6" t="s">
        <v>92</v>
      </c>
      <c r="G54" s="11" t="s">
        <v>47</v>
      </c>
      <c r="H54" s="6" t="n">
        <v>2</v>
      </c>
      <c r="I54" s="6" t="s">
        <v>57</v>
      </c>
      <c r="J54" s="6"/>
      <c r="K54" s="6" t="s">
        <v>27</v>
      </c>
      <c r="L54" s="6" t="n">
        <v>0</v>
      </c>
      <c r="M54" s="6"/>
      <c r="N54" s="6"/>
      <c r="O54" s="6"/>
      <c r="P54" s="6"/>
    </row>
    <row r="55" customFormat="false" ht="21.75" hidden="false" customHeight="true" outlineLevel="0" collapsed="false">
      <c r="A55" s="9" t="s">
        <v>156</v>
      </c>
      <c r="B55" s="9" t="s">
        <v>150</v>
      </c>
      <c r="C55" s="9" t="s">
        <v>67</v>
      </c>
      <c r="D55" s="9" t="s">
        <v>68</v>
      </c>
      <c r="E55" s="10" t="s">
        <v>157</v>
      </c>
      <c r="F55" s="9" t="s">
        <v>92</v>
      </c>
      <c r="G55" s="12" t="s">
        <v>62</v>
      </c>
      <c r="H55" s="9" t="n">
        <v>1</v>
      </c>
      <c r="I55" s="9" t="s">
        <v>63</v>
      </c>
      <c r="J55" s="9"/>
      <c r="K55" s="9" t="s">
        <v>27</v>
      </c>
      <c r="L55" s="9" t="n">
        <v>0</v>
      </c>
      <c r="M55" s="9"/>
      <c r="N55" s="9"/>
      <c r="O55" s="9"/>
      <c r="P55" s="9"/>
    </row>
    <row r="56" customFormat="false" ht="21.75" hidden="false" customHeight="true" outlineLevel="0" collapsed="false">
      <c r="A56" s="6" t="s">
        <v>158</v>
      </c>
      <c r="B56" s="6" t="s">
        <v>150</v>
      </c>
      <c r="C56" s="6" t="s">
        <v>67</v>
      </c>
      <c r="D56" s="6" t="s">
        <v>38</v>
      </c>
      <c r="E56" s="7" t="s">
        <v>159</v>
      </c>
      <c r="F56" s="6" t="s">
        <v>51</v>
      </c>
      <c r="G56" s="8" t="s">
        <v>25</v>
      </c>
      <c r="H56" s="6" t="n">
        <v>3</v>
      </c>
      <c r="I56" s="6" t="s">
        <v>48</v>
      </c>
      <c r="J56" s="6"/>
      <c r="K56" s="6" t="s">
        <v>27</v>
      </c>
      <c r="L56" s="6" t="n">
        <v>0</v>
      </c>
      <c r="M56" s="6"/>
      <c r="N56" s="6"/>
      <c r="O56" s="6"/>
      <c r="P56" s="6"/>
    </row>
    <row r="57" customFormat="false" ht="21.75" hidden="false" customHeight="true" outlineLevel="0" collapsed="false">
      <c r="A57" s="9" t="s">
        <v>160</v>
      </c>
      <c r="B57" s="9" t="s">
        <v>150</v>
      </c>
      <c r="C57" s="9" t="s">
        <v>67</v>
      </c>
      <c r="D57" s="9" t="s">
        <v>68</v>
      </c>
      <c r="E57" s="10" t="s">
        <v>161</v>
      </c>
      <c r="F57" s="9" t="s">
        <v>51</v>
      </c>
      <c r="G57" s="11" t="s">
        <v>47</v>
      </c>
      <c r="H57" s="9" t="n">
        <v>2</v>
      </c>
      <c r="I57" s="9" t="s">
        <v>57</v>
      </c>
      <c r="J57" s="9"/>
      <c r="K57" s="9" t="s">
        <v>27</v>
      </c>
      <c r="L57" s="9" t="n">
        <v>0</v>
      </c>
      <c r="M57" s="9"/>
      <c r="N57" s="9"/>
      <c r="O57" s="9"/>
      <c r="P57" s="9"/>
    </row>
    <row r="58" customFormat="false" ht="21.75" hidden="false" customHeight="true" outlineLevel="0" collapsed="false">
      <c r="A58" s="6" t="s">
        <v>162</v>
      </c>
      <c r="B58" s="6" t="s">
        <v>150</v>
      </c>
      <c r="C58" s="6" t="s">
        <v>67</v>
      </c>
      <c r="D58" s="6" t="s">
        <v>68</v>
      </c>
      <c r="E58" s="7" t="s">
        <v>163</v>
      </c>
      <c r="F58" s="6" t="s">
        <v>51</v>
      </c>
      <c r="G58" s="11" t="s">
        <v>47</v>
      </c>
      <c r="H58" s="6" t="n">
        <v>1</v>
      </c>
      <c r="I58" s="6" t="s">
        <v>57</v>
      </c>
      <c r="J58" s="6"/>
      <c r="K58" s="6" t="s">
        <v>27</v>
      </c>
      <c r="L58" s="6" t="n">
        <v>0</v>
      </c>
      <c r="M58" s="6"/>
      <c r="N58" s="6"/>
      <c r="O58" s="6"/>
      <c r="P58" s="6"/>
    </row>
    <row r="59" customFormat="false" ht="21.75" hidden="false" customHeight="true" outlineLevel="0" collapsed="false">
      <c r="A59" s="9" t="s">
        <v>164</v>
      </c>
      <c r="B59" s="9" t="s">
        <v>150</v>
      </c>
      <c r="C59" s="9" t="s">
        <v>67</v>
      </c>
      <c r="D59" s="9" t="s">
        <v>96</v>
      </c>
      <c r="E59" s="10" t="s">
        <v>165</v>
      </c>
      <c r="F59" s="9" t="s">
        <v>116</v>
      </c>
      <c r="G59" s="8" t="s">
        <v>25</v>
      </c>
      <c r="H59" s="9" t="n">
        <v>2</v>
      </c>
      <c r="I59" s="9" t="s">
        <v>48</v>
      </c>
      <c r="J59" s="9"/>
      <c r="K59" s="9" t="s">
        <v>27</v>
      </c>
      <c r="L59" s="9" t="n">
        <v>0</v>
      </c>
      <c r="M59" s="9"/>
      <c r="N59" s="9"/>
      <c r="O59" s="9"/>
      <c r="P59" s="9"/>
    </row>
    <row r="60" customFormat="false" ht="21.75" hidden="false" customHeight="true" outlineLevel="0" collapsed="false">
      <c r="A60" s="6" t="s">
        <v>166</v>
      </c>
      <c r="B60" s="6" t="s">
        <v>150</v>
      </c>
      <c r="C60" s="6" t="s">
        <v>67</v>
      </c>
      <c r="D60" s="6" t="s">
        <v>96</v>
      </c>
      <c r="E60" s="7" t="s">
        <v>167</v>
      </c>
      <c r="F60" s="6" t="s">
        <v>108</v>
      </c>
      <c r="G60" s="11" t="s">
        <v>47</v>
      </c>
      <c r="H60" s="6" t="n">
        <v>2</v>
      </c>
      <c r="I60" s="6" t="s">
        <v>57</v>
      </c>
      <c r="J60" s="6"/>
      <c r="K60" s="6" t="s">
        <v>27</v>
      </c>
      <c r="L60" s="6" t="n">
        <v>0</v>
      </c>
      <c r="M60" s="6"/>
      <c r="N60" s="6"/>
      <c r="O60" s="6"/>
      <c r="P60" s="6"/>
    </row>
    <row r="61" customFormat="false" ht="21.75" hidden="false" customHeight="true" outlineLevel="0" collapsed="false">
      <c r="A61" s="9" t="s">
        <v>168</v>
      </c>
      <c r="B61" s="9" t="s">
        <v>150</v>
      </c>
      <c r="C61" s="9" t="s">
        <v>67</v>
      </c>
      <c r="D61" s="9" t="s">
        <v>68</v>
      </c>
      <c r="E61" s="10" t="s">
        <v>169</v>
      </c>
      <c r="F61" s="9" t="s">
        <v>170</v>
      </c>
      <c r="G61" s="11" t="s">
        <v>47</v>
      </c>
      <c r="H61" s="9" t="n">
        <v>1</v>
      </c>
      <c r="I61" s="9" t="s">
        <v>57</v>
      </c>
      <c r="J61" s="9"/>
      <c r="K61" s="9" t="s">
        <v>27</v>
      </c>
      <c r="L61" s="9" t="n">
        <v>0</v>
      </c>
      <c r="M61" s="9"/>
      <c r="N61" s="9"/>
      <c r="O61" s="9"/>
      <c r="P61" s="9"/>
    </row>
    <row r="63" customFormat="false" ht="19.5" hidden="false" customHeight="true" outlineLevel="0" collapsed="false">
      <c r="A63" s="17" t="s">
        <v>171</v>
      </c>
      <c r="B63" s="17"/>
      <c r="C63" s="17"/>
      <c r="D63" s="17"/>
      <c r="E63" s="18" t="n">
        <f aca="false">COUNTA(E5:E61)</f>
        <v>52</v>
      </c>
      <c r="H63" s="18" t="n">
        <f aca="false">SUM(H5:H61)</f>
        <v>104</v>
      </c>
    </row>
  </sheetData>
  <mergeCells count="9">
    <mergeCell ref="A1:P1"/>
    <mergeCell ref="A2:P2"/>
    <mergeCell ref="A3:P3"/>
    <mergeCell ref="A5:P5"/>
    <mergeCell ref="A18:P18"/>
    <mergeCell ref="A29:P29"/>
    <mergeCell ref="A41:P41"/>
    <mergeCell ref="A51:P51"/>
    <mergeCell ref="A63:D63"/>
  </mergeCells>
  <conditionalFormatting sqref="L5:L61">
    <cfRule type="dataBar" priority="2">
      <dataBar showValue="1" minLength="10" maxLength="90">
        <cfvo type="num" val="0"/>
        <cfvo type="num" val="100"/>
        <color rgb="FF2E75B6"/>
      </dataBar>
      <extLst>
        <ext xmlns:x14="http://schemas.microsoft.com/office/spreadsheetml/2009/9/main" uri="{B025F937-C7B1-47D3-B67F-A62EFF666E3E}">
          <x14:id>{CA96201A-EBE9-4580-A000-57FCB9B8DEE9}</x14:id>
        </ext>
      </extLst>
    </cfRule>
  </conditionalFormatting>
  <dataValidations count="1">
    <dataValidation allowBlank="true" errorStyle="stop" operator="between" showDropDown="false" showErrorMessage="false" showInputMessage="false" sqref="K5:K61" type="list">
      <formula1>"Not Started,In Progress,Draft Done,Under Review,Approved,On 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96201A-EBE9-4580-A000-57FCB9B8DEE9}">
            <x14:dataBar minLength="10" maxLength="90" axisPosition="none" gradient="true">
              <x14:cfvo type="num">
                <xm:f>0</xm:f>
              </x14:cfvo>
              <x14:cfvo type="num">
                <xm:f>100</xm:f>
              </x14:cfvo>
              <x14:negativeFillColor rgb="FF2E75B6"/>
              <x14:axisColor rgb="FF000000"/>
            </x14:dataBar>
          </x14:cfRule>
          <xm:sqref>L5:L61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11"/>
    <col collapsed="false" customWidth="true" hidden="false" outlineLevel="0" max="5" min="4" style="0" width="12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1"/>
  </cols>
  <sheetData>
    <row r="1" customFormat="false" ht="30" hidden="false" customHeight="true" outlineLevel="0" collapsed="false">
      <c r="A1" s="19" t="s">
        <v>172</v>
      </c>
      <c r="B1" s="19"/>
      <c r="C1" s="19"/>
      <c r="D1" s="19"/>
      <c r="E1" s="19"/>
      <c r="F1" s="19"/>
      <c r="G1" s="19"/>
      <c r="H1" s="19"/>
    </row>
    <row r="2" customFormat="false" ht="15.75" hidden="false" customHeight="true" outlineLevel="0" collapsed="false">
      <c r="A2" s="2" t="s">
        <v>173</v>
      </c>
      <c r="B2" s="2"/>
      <c r="C2" s="2"/>
      <c r="D2" s="2"/>
      <c r="E2" s="2"/>
      <c r="F2" s="2"/>
      <c r="G2" s="2"/>
      <c r="H2" s="2"/>
    </row>
    <row r="3" customFormat="false" ht="15.75" hidden="false" customHeight="true" outlineLevel="0" collapsed="false">
      <c r="B3" s="20" t="s">
        <v>174</v>
      </c>
      <c r="E3" s="20" t="s">
        <v>175</v>
      </c>
    </row>
    <row r="4" customFormat="false" ht="48" hidden="false" customHeight="true" outlineLevel="0" collapsed="false">
      <c r="B4" s="21" t="n">
        <f aca="false">COUNTA('Master Tracker'!A5:A300)-COUNT('Master Tracker'!A5:A300)</f>
        <v>58</v>
      </c>
      <c r="C4" s="21"/>
      <c r="E4" s="22" t="n">
        <f aca="false">COUNTIF('Master Tracker'!C5:C300,"SOP")</f>
        <v>12</v>
      </c>
      <c r="F4" s="22"/>
    </row>
    <row r="5" customFormat="false" ht="15" hidden="false" customHeight="false" outlineLevel="0" collapsed="false">
      <c r="B5" s="21"/>
      <c r="C5" s="21"/>
      <c r="E5" s="22"/>
      <c r="F5" s="22"/>
    </row>
    <row r="6" customFormat="false" ht="15" hidden="false" customHeight="false" outlineLevel="0" collapsed="false">
      <c r="B6" s="21"/>
      <c r="C6" s="21"/>
      <c r="E6" s="22"/>
      <c r="F6" s="22"/>
    </row>
    <row r="7" customFormat="false" ht="15.75" hidden="false" customHeight="true" outlineLevel="0" collapsed="false">
      <c r="B7" s="20" t="s">
        <v>176</v>
      </c>
      <c r="E7" s="20" t="s">
        <v>177</v>
      </c>
    </row>
    <row r="8" customFormat="false" ht="48" hidden="false" customHeight="true" outlineLevel="0" collapsed="false">
      <c r="B8" s="23" t="n">
        <f aca="false">COUNTIF('Master Tracker'!C5:C300,"PB")</f>
        <v>40</v>
      </c>
      <c r="C8" s="23"/>
      <c r="E8" s="24" t="n">
        <f aca="false">COUNTIF('Master Tracker'!G5:G300,"P1")</f>
        <v>26</v>
      </c>
      <c r="F8" s="24"/>
    </row>
    <row r="9" customFormat="false" ht="15" hidden="false" customHeight="false" outlineLevel="0" collapsed="false">
      <c r="B9" s="23"/>
      <c r="C9" s="23"/>
      <c r="E9" s="24"/>
      <c r="F9" s="24"/>
    </row>
    <row r="10" customFormat="false" ht="15" hidden="false" customHeight="false" outlineLevel="0" collapsed="false">
      <c r="B10" s="23"/>
      <c r="C10" s="23"/>
      <c r="E10" s="24"/>
      <c r="F10" s="24"/>
    </row>
    <row r="11" customFormat="false" ht="15.75" hidden="false" customHeight="true" outlineLevel="0" collapsed="false">
      <c r="B11" s="20" t="s">
        <v>178</v>
      </c>
      <c r="E11" s="20" t="s">
        <v>179</v>
      </c>
    </row>
    <row r="12" customFormat="false" ht="48" hidden="false" customHeight="true" outlineLevel="0" collapsed="false">
      <c r="B12" s="25" t="n">
        <f aca="false">SUM('Master Tracker'!H5:H300)</f>
        <v>208</v>
      </c>
      <c r="C12" s="25"/>
      <c r="E12" s="26" t="n">
        <f aca="false">COUNTIF('Master Tracker'!K5:K300,"Approved")</f>
        <v>0</v>
      </c>
      <c r="F12" s="26"/>
    </row>
    <row r="13" customFormat="false" ht="15" hidden="false" customHeight="false" outlineLevel="0" collapsed="false">
      <c r="B13" s="25"/>
      <c r="C13" s="25"/>
      <c r="E13" s="26"/>
      <c r="F13" s="26"/>
    </row>
    <row r="14" customFormat="false" ht="15" hidden="false" customHeight="false" outlineLevel="0" collapsed="false">
      <c r="B14" s="25"/>
      <c r="C14" s="25"/>
      <c r="E14" s="26"/>
      <c r="F14" s="26"/>
    </row>
    <row r="16" customFormat="false" ht="4.5" hidden="false" customHeight="true" outlineLevel="0" collapsed="false"/>
    <row r="17" customFormat="false" ht="21.75" hidden="false" customHeight="true" outlineLevel="0" collapsed="false">
      <c r="A17" s="27" t="s">
        <v>180</v>
      </c>
      <c r="B17" s="27"/>
      <c r="C17" s="27"/>
      <c r="D17" s="27"/>
      <c r="E17" s="27"/>
      <c r="F17" s="27"/>
      <c r="G17" s="27"/>
      <c r="H17" s="27"/>
    </row>
    <row r="18" customFormat="false" ht="15" hidden="false" customHeight="false" outlineLevel="0" collapsed="false">
      <c r="A18" s="28" t="s">
        <v>3</v>
      </c>
      <c r="B18" s="28" t="s">
        <v>181</v>
      </c>
      <c r="C18" s="28" t="s">
        <v>174</v>
      </c>
      <c r="D18" s="28" t="s">
        <v>27</v>
      </c>
      <c r="E18" s="28" t="s">
        <v>182</v>
      </c>
      <c r="F18" s="28" t="s">
        <v>183</v>
      </c>
      <c r="G18" s="28" t="s">
        <v>184</v>
      </c>
      <c r="H18" s="28" t="s">
        <v>185</v>
      </c>
    </row>
    <row r="19" customFormat="false" ht="19.5" hidden="false" customHeight="true" outlineLevel="0" collapsed="false">
      <c r="A19" s="29" t="s">
        <v>20</v>
      </c>
      <c r="B19" s="30" t="s">
        <v>186</v>
      </c>
      <c r="C19" s="6" t="n">
        <v>12</v>
      </c>
      <c r="D19" s="6"/>
      <c r="E19" s="6"/>
      <c r="F19" s="6"/>
      <c r="G19" s="6"/>
      <c r="H19" s="6"/>
    </row>
    <row r="20" customFormat="false" ht="19.5" hidden="false" customHeight="true" outlineLevel="0" collapsed="false">
      <c r="A20" s="31" t="s">
        <v>66</v>
      </c>
      <c r="B20" s="32" t="s">
        <v>187</v>
      </c>
      <c r="C20" s="9" t="n">
        <v>10</v>
      </c>
      <c r="D20" s="9"/>
      <c r="E20" s="9"/>
      <c r="F20" s="9"/>
      <c r="G20" s="9"/>
      <c r="H20" s="9"/>
    </row>
    <row r="21" customFormat="false" ht="19.5" hidden="false" customHeight="true" outlineLevel="0" collapsed="false">
      <c r="A21" s="29" t="s">
        <v>95</v>
      </c>
      <c r="B21" s="30" t="s">
        <v>188</v>
      </c>
      <c r="C21" s="6" t="n">
        <v>11</v>
      </c>
      <c r="D21" s="6"/>
      <c r="E21" s="6"/>
      <c r="F21" s="6"/>
      <c r="G21" s="6"/>
      <c r="H21" s="6"/>
    </row>
    <row r="22" customFormat="false" ht="19.5" hidden="false" customHeight="true" outlineLevel="0" collapsed="false">
      <c r="A22" s="31" t="s">
        <v>124</v>
      </c>
      <c r="B22" s="32" t="s">
        <v>189</v>
      </c>
      <c r="C22" s="9" t="n">
        <v>9</v>
      </c>
      <c r="D22" s="9"/>
      <c r="E22" s="9"/>
      <c r="F22" s="9"/>
      <c r="G22" s="9"/>
      <c r="H22" s="9"/>
    </row>
    <row r="23" customFormat="false" ht="19.5" hidden="false" customHeight="true" outlineLevel="0" collapsed="false">
      <c r="A23" s="29" t="s">
        <v>150</v>
      </c>
      <c r="B23" s="30" t="s">
        <v>190</v>
      </c>
      <c r="C23" s="6" t="n">
        <v>10</v>
      </c>
      <c r="D23" s="6"/>
      <c r="E23" s="6"/>
      <c r="F23" s="6"/>
      <c r="G23" s="6"/>
      <c r="H23" s="6"/>
    </row>
    <row r="25" customFormat="false" ht="7.5" hidden="false" customHeight="true" outlineLevel="0" collapsed="false"/>
    <row r="26" customFormat="false" ht="21.75" hidden="false" customHeight="true" outlineLevel="0" collapsed="false">
      <c r="A26" s="33" t="s">
        <v>191</v>
      </c>
      <c r="B26" s="33"/>
      <c r="C26" s="33"/>
      <c r="D26" s="33"/>
      <c r="E26" s="33"/>
      <c r="F26" s="33"/>
      <c r="G26" s="33"/>
      <c r="H26" s="33"/>
    </row>
    <row r="27" customFormat="false" ht="18" hidden="false" customHeight="true" outlineLevel="0" collapsed="false">
      <c r="A27" s="34" t="s">
        <v>192</v>
      </c>
      <c r="B27" s="34"/>
      <c r="C27" s="34"/>
      <c r="D27" s="34"/>
      <c r="E27" s="34"/>
      <c r="F27" s="34"/>
      <c r="G27" s="34"/>
      <c r="H27" s="34"/>
    </row>
    <row r="28" customFormat="false" ht="18" hidden="false" customHeight="true" outlineLevel="0" collapsed="false">
      <c r="A28" s="35" t="s">
        <v>193</v>
      </c>
      <c r="B28" s="35"/>
      <c r="C28" s="35"/>
      <c r="D28" s="35"/>
      <c r="E28" s="35"/>
      <c r="F28" s="35"/>
      <c r="G28" s="35"/>
      <c r="H28" s="35"/>
    </row>
    <row r="29" customFormat="false" ht="18" hidden="false" customHeight="true" outlineLevel="0" collapsed="false">
      <c r="A29" s="34" t="s">
        <v>194</v>
      </c>
      <c r="B29" s="34"/>
      <c r="C29" s="34"/>
      <c r="D29" s="34"/>
      <c r="E29" s="34"/>
      <c r="F29" s="34"/>
      <c r="G29" s="34"/>
      <c r="H29" s="34"/>
    </row>
    <row r="30" customFormat="false" ht="18" hidden="false" customHeight="true" outlineLevel="0" collapsed="false">
      <c r="A30" s="35" t="s">
        <v>195</v>
      </c>
      <c r="B30" s="35"/>
      <c r="C30" s="35"/>
      <c r="D30" s="35"/>
      <c r="E30" s="35"/>
      <c r="F30" s="35"/>
      <c r="G30" s="35"/>
      <c r="H30" s="35"/>
    </row>
    <row r="31" customFormat="false" ht="18" hidden="false" customHeight="true" outlineLevel="0" collapsed="false">
      <c r="A31" s="34" t="s">
        <v>196</v>
      </c>
      <c r="B31" s="34"/>
      <c r="C31" s="34"/>
      <c r="D31" s="34"/>
      <c r="E31" s="34"/>
      <c r="F31" s="34"/>
      <c r="G31" s="34"/>
      <c r="H31" s="34"/>
    </row>
    <row r="32" customFormat="false" ht="18" hidden="false" customHeight="true" outlineLevel="0" collapsed="false">
      <c r="A32" s="35" t="s">
        <v>197</v>
      </c>
      <c r="B32" s="35"/>
      <c r="C32" s="35"/>
      <c r="D32" s="35"/>
      <c r="E32" s="35"/>
      <c r="F32" s="35"/>
      <c r="G32" s="35"/>
      <c r="H32" s="35"/>
    </row>
    <row r="33" customFormat="false" ht="18" hidden="false" customHeight="true" outlineLevel="0" collapsed="false">
      <c r="A33" s="34" t="s">
        <v>198</v>
      </c>
      <c r="B33" s="34"/>
      <c r="C33" s="34"/>
      <c r="D33" s="34"/>
      <c r="E33" s="34"/>
      <c r="F33" s="34"/>
      <c r="G33" s="34"/>
      <c r="H33" s="34"/>
    </row>
  </sheetData>
  <mergeCells count="17">
    <mergeCell ref="A1:H1"/>
    <mergeCell ref="A2:H2"/>
    <mergeCell ref="B4:C6"/>
    <mergeCell ref="E4:F6"/>
    <mergeCell ref="B8:C10"/>
    <mergeCell ref="E8:F10"/>
    <mergeCell ref="B12:C14"/>
    <mergeCell ref="E12:F14"/>
    <mergeCell ref="A17:H17"/>
    <mergeCell ref="A26:H26"/>
    <mergeCell ref="A27:H27"/>
    <mergeCell ref="A28:H28"/>
    <mergeCell ref="A29:H29"/>
    <mergeCell ref="A30:H30"/>
    <mergeCell ref="A31:H31"/>
    <mergeCell ref="A32:H32"/>
    <mergeCell ref="A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2"/>
    <col collapsed="false" customWidth="true" hidden="false" outlineLevel="0" max="3" min="3" style="0" width="18"/>
    <col collapsed="false" customWidth="true" hidden="false" outlineLevel="0" max="4" min="4" style="0" width="30"/>
  </cols>
  <sheetData>
    <row r="1" customFormat="false" ht="27.75" hidden="false" customHeight="true" outlineLevel="0" collapsed="false">
      <c r="A1" s="36" t="s">
        <v>199</v>
      </c>
      <c r="B1" s="36"/>
      <c r="C1" s="36"/>
      <c r="D1" s="36"/>
    </row>
    <row r="2" customFormat="false" ht="19.5" hidden="false" customHeight="true" outlineLevel="0" collapsed="false">
      <c r="A2" s="37" t="s">
        <v>200</v>
      </c>
      <c r="B2" s="37"/>
      <c r="C2" s="37"/>
      <c r="D2" s="37"/>
    </row>
    <row r="3" customFormat="false" ht="19.5" hidden="false" customHeight="true" outlineLevel="0" collapsed="false">
      <c r="A3" s="7" t="s">
        <v>6</v>
      </c>
      <c r="B3" s="30" t="s">
        <v>201</v>
      </c>
      <c r="C3" s="30" t="s">
        <v>202</v>
      </c>
    </row>
    <row r="4" customFormat="false" ht="19.5" hidden="false" customHeight="true" outlineLevel="0" collapsed="false">
      <c r="A4" s="10" t="s">
        <v>181</v>
      </c>
      <c r="B4" s="32" t="s">
        <v>203</v>
      </c>
      <c r="C4" s="32" t="s">
        <v>203</v>
      </c>
    </row>
    <row r="5" customFormat="false" ht="19.5" hidden="false" customHeight="true" outlineLevel="0" collapsed="false">
      <c r="A5" s="7" t="s">
        <v>4</v>
      </c>
      <c r="B5" s="30" t="s">
        <v>204</v>
      </c>
      <c r="C5" s="30" t="s">
        <v>204</v>
      </c>
    </row>
    <row r="6" customFormat="false" ht="19.5" hidden="false" customHeight="true" outlineLevel="0" collapsed="false">
      <c r="A6" s="10" t="s">
        <v>11</v>
      </c>
      <c r="B6" s="32" t="s">
        <v>205</v>
      </c>
      <c r="C6" s="32" t="s">
        <v>206</v>
      </c>
    </row>
    <row r="7" customFormat="false" ht="19.5" hidden="false" customHeight="true" outlineLevel="0" collapsed="false">
      <c r="A7" s="7" t="s">
        <v>207</v>
      </c>
      <c r="B7" s="30" t="s">
        <v>208</v>
      </c>
      <c r="C7" s="30" t="s">
        <v>209</v>
      </c>
    </row>
    <row r="8" customFormat="false" ht="19.5" hidden="false" customHeight="true" outlineLevel="0" collapsed="false">
      <c r="A8" s="10" t="s">
        <v>210</v>
      </c>
      <c r="B8" s="32" t="s">
        <v>211</v>
      </c>
      <c r="C8" s="32" t="s">
        <v>212</v>
      </c>
    </row>
    <row r="9" customFormat="false" ht="19.5" hidden="false" customHeight="true" outlineLevel="0" collapsed="false">
      <c r="A9" s="7" t="s">
        <v>213</v>
      </c>
      <c r="B9" s="30" t="s">
        <v>214</v>
      </c>
      <c r="C9" s="30" t="s">
        <v>215</v>
      </c>
    </row>
    <row r="10" customFormat="false" ht="19.5" hidden="false" customHeight="true" outlineLevel="0" collapsed="false">
      <c r="A10" s="10" t="s">
        <v>216</v>
      </c>
      <c r="B10" s="32" t="s">
        <v>217</v>
      </c>
      <c r="C10" s="32" t="s">
        <v>218</v>
      </c>
    </row>
    <row r="12" customFormat="false" ht="21.75" hidden="false" customHeight="true" outlineLevel="0" collapsed="false">
      <c r="A12" s="17" t="s">
        <v>219</v>
      </c>
      <c r="B12" s="17"/>
      <c r="C12" s="17"/>
      <c r="D12" s="17"/>
    </row>
    <row r="13" customFormat="false" ht="16.5" hidden="false" customHeight="true" outlineLevel="0" collapsed="false">
      <c r="A13" s="38" t="s">
        <v>220</v>
      </c>
      <c r="B13" s="38"/>
      <c r="C13" s="38"/>
      <c r="D13" s="38"/>
    </row>
    <row r="14" customFormat="false" ht="16.5" hidden="false" customHeight="true" outlineLevel="0" collapsed="false">
      <c r="A14" s="39" t="s">
        <v>221</v>
      </c>
      <c r="B14" s="39"/>
      <c r="C14" s="39"/>
      <c r="D14" s="39"/>
    </row>
    <row r="15" customFormat="false" ht="16.5" hidden="false" customHeight="true" outlineLevel="0" collapsed="false">
      <c r="A15" s="38" t="s">
        <v>222</v>
      </c>
      <c r="B15" s="38"/>
      <c r="C15" s="38"/>
      <c r="D15" s="38"/>
    </row>
    <row r="16" customFormat="false" ht="16.5" hidden="false" customHeight="true" outlineLevel="0" collapsed="false">
      <c r="A16" s="39" t="s">
        <v>223</v>
      </c>
      <c r="B16" s="39"/>
      <c r="C16" s="39"/>
      <c r="D16" s="39"/>
    </row>
    <row r="17" customFormat="false" ht="16.5" hidden="false" customHeight="true" outlineLevel="0" collapsed="false">
      <c r="A17" s="38" t="s">
        <v>224</v>
      </c>
      <c r="B17" s="38"/>
      <c r="C17" s="38"/>
      <c r="D17" s="38"/>
    </row>
    <row r="18" customFormat="false" ht="16.5" hidden="false" customHeight="true" outlineLevel="0" collapsed="false">
      <c r="A18" s="39" t="s">
        <v>225</v>
      </c>
      <c r="B18" s="39"/>
      <c r="C18" s="39"/>
      <c r="D18" s="39"/>
    </row>
    <row r="19" customFormat="false" ht="16.5" hidden="false" customHeight="true" outlineLevel="0" collapsed="false">
      <c r="A19" s="38" t="s">
        <v>226</v>
      </c>
      <c r="B19" s="38"/>
      <c r="C19" s="38"/>
      <c r="D19" s="38"/>
    </row>
    <row r="20" customFormat="false" ht="16.5" hidden="false" customHeight="true" outlineLevel="0" collapsed="false">
      <c r="A20" s="39"/>
      <c r="B20" s="39"/>
      <c r="C20" s="39"/>
      <c r="D20" s="39"/>
    </row>
    <row r="21" customFormat="false" ht="16.5" hidden="false" customHeight="true" outlineLevel="0" collapsed="false">
      <c r="A21" s="40" t="s">
        <v>227</v>
      </c>
      <c r="B21" s="40"/>
      <c r="C21" s="40"/>
      <c r="D21" s="40"/>
    </row>
    <row r="22" customFormat="false" ht="16.5" hidden="false" customHeight="true" outlineLevel="0" collapsed="false">
      <c r="A22" s="39" t="s">
        <v>228</v>
      </c>
      <c r="B22" s="39"/>
      <c r="C22" s="39"/>
      <c r="D22" s="39"/>
    </row>
    <row r="23" customFormat="false" ht="16.5" hidden="false" customHeight="true" outlineLevel="0" collapsed="false">
      <c r="A23" s="38" t="s">
        <v>229</v>
      </c>
      <c r="B23" s="38"/>
      <c r="C23" s="38"/>
      <c r="D23" s="38"/>
    </row>
    <row r="24" customFormat="false" ht="16.5" hidden="false" customHeight="true" outlineLevel="0" collapsed="false">
      <c r="A24" s="39" t="s">
        <v>230</v>
      </c>
      <c r="B24" s="39"/>
      <c r="C24" s="39"/>
      <c r="D24" s="39"/>
    </row>
    <row r="25" customFormat="false" ht="16.5" hidden="false" customHeight="true" outlineLevel="0" collapsed="false">
      <c r="A25" s="38" t="s">
        <v>231</v>
      </c>
      <c r="B25" s="38"/>
      <c r="C25" s="38"/>
      <c r="D25" s="38"/>
    </row>
    <row r="26" customFormat="false" ht="16.5" hidden="false" customHeight="true" outlineLevel="0" collapsed="false">
      <c r="A26" s="39" t="s">
        <v>232</v>
      </c>
      <c r="B26" s="39"/>
      <c r="C26" s="39"/>
      <c r="D26" s="39"/>
    </row>
    <row r="27" customFormat="false" ht="16.5" hidden="false" customHeight="true" outlineLevel="0" collapsed="false">
      <c r="A27" s="38" t="s">
        <v>233</v>
      </c>
      <c r="B27" s="38"/>
      <c r="C27" s="38"/>
      <c r="D27" s="38"/>
    </row>
    <row r="28" customFormat="false" ht="16.5" hidden="false" customHeight="true" outlineLevel="0" collapsed="false">
      <c r="A28" s="39" t="s">
        <v>234</v>
      </c>
      <c r="B28" s="39"/>
      <c r="C28" s="39"/>
      <c r="D28" s="39"/>
    </row>
  </sheetData>
  <mergeCells count="19">
    <mergeCell ref="A1:D1"/>
    <mergeCell ref="A2:D2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8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6"/>
  </cols>
  <sheetData>
    <row r="1" customFormat="false" ht="27.75" hidden="false" customHeight="true" outlineLevel="0" collapsed="false">
      <c r="A1" s="36" t="s">
        <v>235</v>
      </c>
      <c r="B1" s="36"/>
      <c r="C1" s="36"/>
      <c r="D1" s="36"/>
      <c r="E1" s="36"/>
      <c r="F1" s="36"/>
      <c r="G1" s="36"/>
    </row>
    <row r="2" customFormat="false" ht="21.75" hidden="false" customHeight="true" outlineLevel="0" collapsed="false">
      <c r="A2" s="28" t="s">
        <v>236</v>
      </c>
      <c r="B2" s="28" t="s">
        <v>237</v>
      </c>
      <c r="C2" s="28" t="s">
        <v>238</v>
      </c>
      <c r="D2" s="28" t="s">
        <v>239</v>
      </c>
      <c r="E2" s="28" t="s">
        <v>9</v>
      </c>
      <c r="F2" s="28" t="s">
        <v>240</v>
      </c>
      <c r="G2" s="28" t="s">
        <v>241</v>
      </c>
    </row>
    <row r="3" customFormat="false" ht="36" hidden="false" customHeight="true" outlineLevel="0" collapsed="false">
      <c r="A3" s="41" t="s">
        <v>242</v>
      </c>
      <c r="B3" s="6" t="s">
        <v>243</v>
      </c>
      <c r="C3" s="30" t="s">
        <v>244</v>
      </c>
      <c r="D3" s="29" t="n">
        <v>22</v>
      </c>
      <c r="E3" s="29" t="n">
        <v>46</v>
      </c>
      <c r="F3" s="6" t="s">
        <v>57</v>
      </c>
      <c r="G3" s="6"/>
    </row>
    <row r="4" customFormat="false" ht="36" hidden="false" customHeight="true" outlineLevel="0" collapsed="false">
      <c r="A4" s="42" t="s">
        <v>245</v>
      </c>
      <c r="B4" s="9" t="s">
        <v>246</v>
      </c>
      <c r="C4" s="32" t="s">
        <v>247</v>
      </c>
      <c r="D4" s="31" t="n">
        <v>16</v>
      </c>
      <c r="E4" s="31" t="n">
        <v>42</v>
      </c>
      <c r="F4" s="9" t="s">
        <v>57</v>
      </c>
      <c r="G4" s="9"/>
    </row>
    <row r="5" customFormat="false" ht="36" hidden="false" customHeight="true" outlineLevel="0" collapsed="false">
      <c r="A5" s="43" t="s">
        <v>248</v>
      </c>
      <c r="B5" s="6" t="s">
        <v>249</v>
      </c>
      <c r="C5" s="30" t="s">
        <v>250</v>
      </c>
      <c r="D5" s="29" t="n">
        <v>14</v>
      </c>
      <c r="E5" s="29" t="n">
        <v>34</v>
      </c>
      <c r="F5" s="6" t="s">
        <v>63</v>
      </c>
      <c r="G5" s="6"/>
    </row>
    <row r="7" customFormat="false" ht="9.75" hidden="false" customHeight="true" outlineLevel="0" collapsed="false">
      <c r="A7" s="44"/>
      <c r="B7" s="44"/>
      <c r="C7" s="44"/>
      <c r="D7" s="44"/>
      <c r="E7" s="44"/>
      <c r="F7" s="44"/>
      <c r="G7" s="44"/>
    </row>
    <row r="8" customFormat="false" ht="24" hidden="false" customHeight="true" outlineLevel="0" collapsed="false">
      <c r="A8" s="45" t="s">
        <v>251</v>
      </c>
      <c r="B8" s="45"/>
      <c r="C8" s="45"/>
      <c r="D8" s="45"/>
      <c r="E8" s="45"/>
      <c r="F8" s="45"/>
      <c r="G8" s="45"/>
    </row>
    <row r="10" customFormat="false" ht="21.75" hidden="false" customHeight="true" outlineLevel="0" collapsed="false">
      <c r="A10" s="27" t="s">
        <v>252</v>
      </c>
      <c r="B10" s="27"/>
      <c r="C10" s="27"/>
      <c r="D10" s="27"/>
      <c r="E10" s="27"/>
      <c r="F10" s="27"/>
      <c r="G10" s="27"/>
    </row>
    <row r="11" customFormat="false" ht="19.5" hidden="false" customHeight="true" outlineLevel="0" collapsed="false">
      <c r="A11" s="28" t="s">
        <v>253</v>
      </c>
      <c r="B11" s="28" t="s">
        <v>254</v>
      </c>
      <c r="C11" s="28" t="s">
        <v>255</v>
      </c>
      <c r="D11" s="28" t="s">
        <v>256</v>
      </c>
    </row>
    <row r="12" customFormat="false" ht="30" hidden="false" customHeight="true" outlineLevel="0" collapsed="false">
      <c r="A12" s="29" t="s">
        <v>26</v>
      </c>
      <c r="B12" s="30" t="s">
        <v>257</v>
      </c>
      <c r="C12" s="30" t="s">
        <v>258</v>
      </c>
      <c r="D12" s="6" t="s">
        <v>242</v>
      </c>
    </row>
    <row r="13" customFormat="false" ht="30" hidden="false" customHeight="true" outlineLevel="0" collapsed="false">
      <c r="A13" s="31" t="s">
        <v>36</v>
      </c>
      <c r="B13" s="32" t="s">
        <v>259</v>
      </c>
      <c r="C13" s="32" t="s">
        <v>260</v>
      </c>
      <c r="D13" s="9" t="s">
        <v>261</v>
      </c>
    </row>
    <row r="14" customFormat="false" ht="30" hidden="false" customHeight="true" outlineLevel="0" collapsed="false">
      <c r="A14" s="29" t="s">
        <v>48</v>
      </c>
      <c r="B14" s="30" t="s">
        <v>262</v>
      </c>
      <c r="C14" s="30" t="s">
        <v>263</v>
      </c>
      <c r="D14" s="6" t="s">
        <v>24</v>
      </c>
    </row>
    <row r="15" customFormat="false" ht="30" hidden="false" customHeight="true" outlineLevel="0" collapsed="false">
      <c r="A15" s="31" t="s">
        <v>57</v>
      </c>
      <c r="B15" s="32" t="s">
        <v>264</v>
      </c>
      <c r="C15" s="32" t="s">
        <v>265</v>
      </c>
      <c r="D15" s="9" t="s">
        <v>266</v>
      </c>
    </row>
    <row r="16" customFormat="false" ht="30" hidden="false" customHeight="true" outlineLevel="0" collapsed="false">
      <c r="A16" s="29" t="s">
        <v>63</v>
      </c>
      <c r="B16" s="30" t="s">
        <v>267</v>
      </c>
      <c r="C16" s="30" t="s">
        <v>268</v>
      </c>
      <c r="D16" s="6" t="s">
        <v>266</v>
      </c>
    </row>
    <row r="17" customFormat="false" ht="30" hidden="false" customHeight="true" outlineLevel="0" collapsed="false">
      <c r="A17" s="31" t="s">
        <v>269</v>
      </c>
      <c r="B17" s="32" t="s">
        <v>270</v>
      </c>
      <c r="C17" s="32" t="s">
        <v>271</v>
      </c>
      <c r="D17" s="9" t="s">
        <v>272</v>
      </c>
    </row>
    <row r="18" customFormat="false" ht="30" hidden="false" customHeight="true" outlineLevel="0" collapsed="false">
      <c r="A18" s="29" t="s">
        <v>273</v>
      </c>
      <c r="B18" s="30" t="s">
        <v>274</v>
      </c>
      <c r="C18" s="30" t="s">
        <v>275</v>
      </c>
      <c r="D18" s="6" t="s">
        <v>24</v>
      </c>
    </row>
  </sheetData>
  <mergeCells count="4">
    <mergeCell ref="A1:G1"/>
    <mergeCell ref="A7:G7"/>
    <mergeCell ref="A8:G8"/>
    <mergeCell ref="A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2026-03-20T03:57:06Z</dcterms:created>
  <dc:creator>openpyxl</dc:creator>
  <dc:description/>
  <dc:language>en-US</dc:language>
  <cp:lastModifiedBy/>
  <dcterms:modified xsi:type="dcterms:W3CDTF">2026-03-20T03:57:06Z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