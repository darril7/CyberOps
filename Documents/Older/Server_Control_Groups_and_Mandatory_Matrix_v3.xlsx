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Groups" sheetId="1" state="visible" r:id="rId1"/>
    <sheet xmlns:r="http://schemas.openxmlformats.org/officeDocument/2006/relationships" name="Mandatory Controls Matrix" sheetId="2" state="visible" r:id="rId2"/>
    <sheet xmlns:r="http://schemas.openxmlformats.org/officeDocument/2006/relationships" name="Tier Category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  <color rgb="00666666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ID</t>
        </is>
      </c>
      <c r="B1" s="1" t="inlineStr">
        <is>
          <t>Control Description</t>
        </is>
      </c>
      <c r="C1" s="1" t="inlineStr">
        <is>
          <t>Control Group / Tier</t>
        </is>
      </c>
      <c r="D1" s="1" t="inlineStr">
        <is>
          <t>Benchmark Basis</t>
        </is>
      </c>
    </row>
    <row r="2">
      <c r="A2" t="inlineStr">
        <is>
          <t>AC-01</t>
        </is>
      </c>
      <c r="B2" t="inlineStr">
        <is>
          <t>Default local accounts disabled</t>
        </is>
      </c>
      <c r="C2" t="inlineStr">
        <is>
          <t>Tier 0 – Universal</t>
        </is>
      </c>
      <c r="D2" t="inlineStr">
        <is>
          <t>CIS OS Benchmark</t>
        </is>
      </c>
    </row>
    <row r="3">
      <c r="A3" t="inlineStr">
        <is>
          <t>AC-02</t>
        </is>
      </c>
      <c r="B3" t="inlineStr">
        <is>
          <t>Privileged access restricted</t>
        </is>
      </c>
      <c r="C3" t="inlineStr">
        <is>
          <t>Tier 0 – Universal</t>
        </is>
      </c>
      <c r="D3" t="inlineStr">
        <is>
          <t>CIS Control 5</t>
        </is>
      </c>
    </row>
    <row r="4">
      <c r="A4" t="inlineStr">
        <is>
          <t>AC-03</t>
        </is>
      </c>
      <c r="B4" t="inlineStr">
        <is>
          <t>MFA enabled where supported</t>
        </is>
      </c>
      <c r="C4" t="inlineStr">
        <is>
          <t>Tier 1 – Trust / Control Plane</t>
        </is>
      </c>
      <c r="D4" t="inlineStr">
        <is>
          <t>CIS Control 6</t>
        </is>
      </c>
    </row>
    <row r="5">
      <c r="A5" t="inlineStr">
        <is>
          <t>AC-04</t>
        </is>
      </c>
      <c r="B5" t="inlineStr">
        <is>
          <t>Automatic screen lock enforced</t>
        </is>
      </c>
      <c r="C5" t="inlineStr">
        <is>
          <t>Tier 2 – Exposure</t>
        </is>
      </c>
      <c r="D5" t="inlineStr">
        <is>
          <t>CIS OS Benchmark</t>
        </is>
      </c>
    </row>
    <row r="6">
      <c r="A6" t="inlineStr">
        <is>
          <t>SH-01</t>
        </is>
      </c>
      <c r="B6" t="inlineStr">
        <is>
          <t>Secure baseline applied</t>
        </is>
      </c>
      <c r="C6" t="inlineStr">
        <is>
          <t>Tier 0 – Universal</t>
        </is>
      </c>
      <c r="D6" t="inlineStr">
        <is>
          <t>CIS OS Benchmark</t>
        </is>
      </c>
    </row>
    <row r="7">
      <c r="A7" t="inlineStr">
        <is>
          <t>SH-02</t>
        </is>
      </c>
      <c r="B7" t="inlineStr">
        <is>
          <t>Unnecessary services removed</t>
        </is>
      </c>
      <c r="C7" t="inlineStr">
        <is>
          <t>Tier 2 – Exposure</t>
        </is>
      </c>
      <c r="D7" t="inlineStr">
        <is>
          <t>CIS OS Benchmark</t>
        </is>
      </c>
    </row>
    <row r="8">
      <c r="A8" t="inlineStr">
        <is>
          <t>SH-03</t>
        </is>
      </c>
      <c r="B8" t="inlineStr">
        <is>
          <t>Disk encryption enabled</t>
        </is>
      </c>
      <c r="C8" t="inlineStr">
        <is>
          <t>Tier 3 – Data</t>
        </is>
      </c>
      <c r="D8" t="inlineStr">
        <is>
          <t>CIS Data Protection</t>
        </is>
      </c>
    </row>
    <row r="9">
      <c r="A9" t="inlineStr">
        <is>
          <t>NS-01</t>
        </is>
      </c>
      <c r="B9" t="inlineStr">
        <is>
          <t>Host firewall enabled</t>
        </is>
      </c>
      <c r="C9" t="inlineStr">
        <is>
          <t>Tier 1 – Trust / Control Plane</t>
        </is>
      </c>
      <c r="D9" t="inlineStr">
        <is>
          <t>CIS Control 4</t>
        </is>
      </c>
    </row>
    <row r="10">
      <c r="A10" t="inlineStr">
        <is>
          <t>NS-02</t>
        </is>
      </c>
      <c r="B10" t="inlineStr">
        <is>
          <t>Inbound traffic restricted</t>
        </is>
      </c>
      <c r="C10" t="inlineStr">
        <is>
          <t>Tier 2 – Exposure</t>
        </is>
      </c>
      <c r="D10" t="inlineStr">
        <is>
          <t>CIS Control 4</t>
        </is>
      </c>
    </row>
    <row r="11">
      <c r="A11" t="inlineStr">
        <is>
          <t>NS-03</t>
        </is>
      </c>
      <c r="B11" t="inlineStr">
        <is>
          <t>Management access restricted</t>
        </is>
      </c>
      <c r="C11" t="inlineStr">
        <is>
          <t>Tier 1 – Trust / Control Plane</t>
        </is>
      </c>
      <c r="D11" t="inlineStr">
        <is>
          <t>CIS Control 4</t>
        </is>
      </c>
    </row>
    <row r="12">
      <c r="A12" t="inlineStr">
        <is>
          <t>LM-01</t>
        </is>
      </c>
      <c r="B12" t="inlineStr">
        <is>
          <t>System logging enabled</t>
        </is>
      </c>
      <c r="C12" t="inlineStr">
        <is>
          <t>Tier 0 – Universal</t>
        </is>
      </c>
      <c r="D12" t="inlineStr">
        <is>
          <t>CIS Control 8</t>
        </is>
      </c>
    </row>
    <row r="13">
      <c r="A13" t="inlineStr">
        <is>
          <t>LM-02</t>
        </is>
      </c>
      <c r="B13" t="inlineStr">
        <is>
          <t>Logs forwarded centrally</t>
        </is>
      </c>
      <c r="C13" t="inlineStr">
        <is>
          <t>Tier 0 – Universal</t>
        </is>
      </c>
      <c r="D13" t="inlineStr">
        <is>
          <t>CIS Control 8</t>
        </is>
      </c>
    </row>
    <row r="14">
      <c r="A14" t="inlineStr">
        <is>
          <t>LM-03</t>
        </is>
      </c>
      <c r="B14" t="inlineStr">
        <is>
          <t>Time synchronization enabled</t>
        </is>
      </c>
      <c r="C14" t="inlineStr">
        <is>
          <t>Tier 0 – Universal</t>
        </is>
      </c>
      <c r="D14" t="inlineStr">
        <is>
          <t>NIST AU</t>
        </is>
      </c>
    </row>
    <row r="15">
      <c r="A15" t="inlineStr">
        <is>
          <t>PM-01</t>
        </is>
      </c>
      <c r="B15" t="inlineStr">
        <is>
          <t>OS patching enabled</t>
        </is>
      </c>
      <c r="C15" t="inlineStr">
        <is>
          <t>Tier 0 – Universal</t>
        </is>
      </c>
      <c r="D15" t="inlineStr">
        <is>
          <t>CIS Control 7</t>
        </is>
      </c>
    </row>
    <row r="16">
      <c r="A16" t="inlineStr">
        <is>
          <t>PM-02</t>
        </is>
      </c>
      <c r="B16" t="inlineStr">
        <is>
          <t>Security patches prioritized</t>
        </is>
      </c>
      <c r="C16" t="inlineStr">
        <is>
          <t>Tier 1 – Trust / Control Plane</t>
        </is>
      </c>
      <c r="D16" t="inlineStr">
        <is>
          <t>CIS Control 7</t>
        </is>
      </c>
    </row>
    <row r="17">
      <c r="A17" t="inlineStr">
        <is>
          <t>BK-01</t>
        </is>
      </c>
      <c r="B17" t="inlineStr">
        <is>
          <t>Backups enabled</t>
        </is>
      </c>
      <c r="C17" t="inlineStr">
        <is>
          <t>Tier 1 – Data / Control Plane</t>
        </is>
      </c>
      <c r="D17" t="inlineStr">
        <is>
          <t>CIS Control 11</t>
        </is>
      </c>
    </row>
    <row r="18">
      <c r="A18" t="inlineStr">
        <is>
          <t>BK-02</t>
        </is>
      </c>
      <c r="B18" t="inlineStr">
        <is>
          <t>Backups tested periodically</t>
        </is>
      </c>
      <c r="C18" t="inlineStr">
        <is>
          <t>Tier 1 – Data / Control Plane</t>
        </is>
      </c>
      <c r="D18" t="inlineStr">
        <is>
          <t>NIST CP</t>
        </is>
      </c>
    </row>
    <row r="19">
      <c r="A19" t="inlineStr">
        <is>
          <t>SOP-01</t>
        </is>
      </c>
      <c r="B19" t="inlineStr">
        <is>
          <t>Registered in Source of Truth</t>
        </is>
      </c>
      <c r="C19" t="inlineStr">
        <is>
          <t>Tier 0 – Universal</t>
        </is>
      </c>
      <c r="D19" t="inlineStr">
        <is>
          <t>CIS Control 1</t>
        </is>
      </c>
    </row>
    <row r="20">
      <c r="A20" t="inlineStr">
        <is>
          <t>SOP-02</t>
        </is>
      </c>
      <c r="B20" t="inlineStr">
        <is>
          <t>Owner and environment assigned</t>
        </is>
      </c>
      <c r="C20" t="inlineStr">
        <is>
          <t>Tier 0 – Universal</t>
        </is>
      </c>
      <c r="D20" t="inlineStr">
        <is>
          <t>NIST PL</t>
        </is>
      </c>
    </row>
    <row r="21">
      <c r="A21" t="inlineStr">
        <is>
          <t>SOP-03</t>
        </is>
      </c>
      <c r="B21" t="inlineStr">
        <is>
          <t>Secure baseline applied during build</t>
        </is>
      </c>
      <c r="C21" t="inlineStr">
        <is>
          <t>Tier 1 – Trust / Control Plane</t>
        </is>
      </c>
      <c r="D21" t="inlineStr">
        <is>
          <t>CIS OS Benchmark</t>
        </is>
      </c>
    </row>
    <row r="22">
      <c r="A22" t="inlineStr">
        <is>
          <t>SOP-04</t>
        </is>
      </c>
      <c r="B22" t="inlineStr">
        <is>
          <t>Endpoint protection installed</t>
        </is>
      </c>
      <c r="C22" t="inlineStr">
        <is>
          <t>Tier 2 – Exposure</t>
        </is>
      </c>
      <c r="D22" t="inlineStr">
        <is>
          <t>CIS Control 10</t>
        </is>
      </c>
    </row>
    <row r="23">
      <c r="A23" t="inlineStr">
        <is>
          <t>SOP-05</t>
        </is>
      </c>
      <c r="B23" t="inlineStr">
        <is>
          <t>Logging enabled during build</t>
        </is>
      </c>
      <c r="C23" t="inlineStr">
        <is>
          <t>Tier 0 – Universal</t>
        </is>
      </c>
      <c r="D23" t="inlineStr">
        <is>
          <t>CIS Control 8</t>
        </is>
      </c>
    </row>
    <row r="24">
      <c r="A24" t="inlineStr">
        <is>
          <t>SOP-06</t>
        </is>
      </c>
      <c r="B24" t="inlineStr">
        <is>
          <t>Hardening checklist validated</t>
        </is>
      </c>
      <c r="C24" t="inlineStr">
        <is>
          <t>Tier 1 – Governance</t>
        </is>
      </c>
      <c r="D24" t="inlineStr">
        <is>
          <t>ISO / CIS</t>
        </is>
      </c>
    </row>
    <row r="25">
      <c r="A25" t="inlineStr">
        <is>
          <t>SOP-07</t>
        </is>
      </c>
      <c r="B25" t="inlineStr">
        <is>
          <t>Regular patching performed</t>
        </is>
      </c>
      <c r="C25" t="inlineStr">
        <is>
          <t>Tier 0 – Universal</t>
        </is>
      </c>
      <c r="D25" t="inlineStr">
        <is>
          <t>CIS Control 7</t>
        </is>
      </c>
    </row>
    <row r="26">
      <c r="A26" t="inlineStr">
        <is>
          <t>SOP-08</t>
        </is>
      </c>
      <c r="B26" t="inlineStr">
        <is>
          <t>Access reviewed periodically</t>
        </is>
      </c>
      <c r="C26" t="inlineStr">
        <is>
          <t>Tier 1 – Governance</t>
        </is>
      </c>
      <c r="D26" t="inlineStr">
        <is>
          <t>CIS Control 5</t>
        </is>
      </c>
    </row>
    <row r="27">
      <c r="A27" t="inlineStr">
        <is>
          <t>SOP-09</t>
        </is>
      </c>
      <c r="B27" t="inlineStr">
        <is>
          <t>Configuration changes documented</t>
        </is>
      </c>
      <c r="C27" t="inlineStr">
        <is>
          <t>Tier 0 – Universal</t>
        </is>
      </c>
      <c r="D27" t="inlineStr">
        <is>
          <t>NIST CM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ID</t>
        </is>
      </c>
      <c r="B1" s="1" t="inlineStr">
        <is>
          <t>Control Description</t>
        </is>
      </c>
      <c r="C1" s="1" t="inlineStr">
        <is>
          <t>INF-01 Hypervisor</t>
        </is>
      </c>
      <c r="D1" s="1" t="inlineStr">
        <is>
          <t>INF-02 Storage</t>
        </is>
      </c>
      <c r="E1" s="1" t="inlineStr">
        <is>
          <t>INF-03 Backup Infra</t>
        </is>
      </c>
      <c r="F1" s="1" t="inlineStr">
        <is>
          <t>INF-04 Network Infra</t>
        </is>
      </c>
      <c r="G1" s="1" t="inlineStr">
        <is>
          <t>INF-05 Physical Host</t>
        </is>
      </c>
      <c r="H1" s="1" t="inlineStr">
        <is>
          <t>CORE-01 Identity</t>
        </is>
      </c>
      <c r="I1" s="1" t="inlineStr">
        <is>
          <t>CORE-02 DNS/DHCP/NTP</t>
        </is>
      </c>
      <c r="J1" s="1" t="inlineStr">
        <is>
          <t>CORE-03 PKI</t>
        </is>
      </c>
      <c r="K1" s="1" t="inlineStr">
        <is>
          <t>CORE-04 Auth Proxy</t>
        </is>
      </c>
      <c r="L1" s="1" t="inlineStr">
        <is>
          <t>APP-01 App Server</t>
        </is>
      </c>
      <c r="M1" s="1" t="inlineStr">
        <is>
          <t>APP-02 Web Server</t>
        </is>
      </c>
      <c r="N1" s="1" t="inlineStr">
        <is>
          <t>APP-03 Runtime</t>
        </is>
      </c>
      <c r="O1" s="1" t="inlineStr">
        <is>
          <t>APP-04 API</t>
        </is>
      </c>
      <c r="P1" s="1" t="inlineStr">
        <is>
          <t>APP-05 Batch</t>
        </is>
      </c>
      <c r="Q1" s="1" t="inlineStr">
        <is>
          <t>DATA-01 Database</t>
        </is>
      </c>
      <c r="R1" s="1" t="inlineStr">
        <is>
          <t>DATA-02 File Server</t>
        </is>
      </c>
      <c r="S1" s="1" t="inlineStr">
        <is>
          <t>DATA-03 BI</t>
        </is>
      </c>
      <c r="T1" s="1" t="inlineStr">
        <is>
          <t>DATA-04 ETL</t>
        </is>
      </c>
      <c r="U1" s="1" t="inlineStr">
        <is>
          <t>SEC-01 SIEM</t>
        </is>
      </c>
      <c r="V1" s="1" t="inlineStr">
        <is>
          <t>SEC-02 Sec Mgmt</t>
        </is>
      </c>
      <c r="W1" s="1" t="inlineStr">
        <is>
          <t>SEC-03 Bastion</t>
        </is>
      </c>
    </row>
    <row r="2" hidden="1">
      <c r="A2" s="2" t="inlineStr">
        <is>
          <t>Category Code</t>
        </is>
      </c>
      <c r="B2" t="inlineStr"/>
      <c r="C2" s="3" t="inlineStr">
        <is>
          <t>INF-01</t>
        </is>
      </c>
      <c r="D2" s="3" t="inlineStr">
        <is>
          <t>INF-02</t>
        </is>
      </c>
      <c r="E2" s="3" t="inlineStr">
        <is>
          <t>INF-03</t>
        </is>
      </c>
      <c r="F2" s="3" t="inlineStr">
        <is>
          <t>INF-04</t>
        </is>
      </c>
      <c r="G2" s="3" t="inlineStr">
        <is>
          <t>INF-05</t>
        </is>
      </c>
      <c r="H2" s="3" t="inlineStr">
        <is>
          <t>CORE-01</t>
        </is>
      </c>
      <c r="I2" s="3" t="inlineStr">
        <is>
          <t>CORE-02</t>
        </is>
      </c>
      <c r="J2" s="3" t="inlineStr">
        <is>
          <t>CORE-03</t>
        </is>
      </c>
      <c r="K2" s="3" t="inlineStr">
        <is>
          <t>CORE-04</t>
        </is>
      </c>
      <c r="L2" s="3" t="inlineStr">
        <is>
          <t>APP-01</t>
        </is>
      </c>
      <c r="M2" s="3" t="inlineStr">
        <is>
          <t>APP-02</t>
        </is>
      </c>
      <c r="N2" s="3" t="inlineStr">
        <is>
          <t>APP-03</t>
        </is>
      </c>
      <c r="O2" s="3" t="inlineStr">
        <is>
          <t>APP-04</t>
        </is>
      </c>
      <c r="P2" s="3" t="inlineStr">
        <is>
          <t>APP-05</t>
        </is>
      </c>
      <c r="Q2" s="3" t="inlineStr">
        <is>
          <t>DATA-01</t>
        </is>
      </c>
      <c r="R2" s="3" t="inlineStr">
        <is>
          <t>DATA-02</t>
        </is>
      </c>
      <c r="S2" s="3" t="inlineStr">
        <is>
          <t>DATA-03</t>
        </is>
      </c>
      <c r="T2" s="3" t="inlineStr">
        <is>
          <t>DATA-04</t>
        </is>
      </c>
      <c r="U2" s="3" t="inlineStr">
        <is>
          <t>SEC-01</t>
        </is>
      </c>
      <c r="V2" s="3" t="inlineStr">
        <is>
          <t>SEC-02</t>
        </is>
      </c>
      <c r="W2" s="3" t="inlineStr">
        <is>
          <t>SEC-03</t>
        </is>
      </c>
    </row>
    <row r="3">
      <c r="A3" t="inlineStr">
        <is>
          <t>AC-01</t>
        </is>
      </c>
      <c r="B3" t="inlineStr">
        <is>
          <t>Default local accounts disabled</t>
        </is>
      </c>
      <c r="C3">
        <f>IF(VLOOKUP($A3,'Control Groups'!$A:$D,3,FALSE)="Tier 0 – Universal","Yes",IF(COUNTIFS('Tier Category Mapping'!$A:$A,VLOOKUP($A3,'Control Groups'!$A:$D,3,FALSE),'Tier Category Mapping'!$B:$B,C2,'Tier Category Mapping'!$D:$D,"Yes")&gt;0,"Yes",""))</f>
        <v/>
      </c>
      <c r="D3">
        <f>IF(VLOOKUP($A3,'Control Groups'!$A:$D,3,FALSE)="Tier 0 – Universal","Yes",IF(COUNTIFS('Tier Category Mapping'!$A:$A,VLOOKUP($A3,'Control Groups'!$A:$D,3,FALSE),'Tier Category Mapping'!$B:$B,D2,'Tier Category Mapping'!$D:$D,"Yes")&gt;0,"Yes",""))</f>
        <v/>
      </c>
      <c r="E3">
        <f>IF(VLOOKUP($A3,'Control Groups'!$A:$D,3,FALSE)="Tier 0 – Universal","Yes",IF(COUNTIFS('Tier Category Mapping'!$A:$A,VLOOKUP($A3,'Control Groups'!$A:$D,3,FALSE),'Tier Category Mapping'!$B:$B,E2,'Tier Category Mapping'!$D:$D,"Yes")&gt;0,"Yes",""))</f>
        <v/>
      </c>
      <c r="F3">
        <f>IF(VLOOKUP($A3,'Control Groups'!$A:$D,3,FALSE)="Tier 0 – Universal","Yes",IF(COUNTIFS('Tier Category Mapping'!$A:$A,VLOOKUP($A3,'Control Groups'!$A:$D,3,FALSE),'Tier Category Mapping'!$B:$B,F2,'Tier Category Mapping'!$D:$D,"Yes")&gt;0,"Yes",""))</f>
        <v/>
      </c>
      <c r="G3">
        <f>IF(VLOOKUP($A3,'Control Groups'!$A:$D,3,FALSE)="Tier 0 – Universal","Yes",IF(COUNTIFS('Tier Category Mapping'!$A:$A,VLOOKUP($A3,'Control Groups'!$A:$D,3,FALSE),'Tier Category Mapping'!$B:$B,G2,'Tier Category Mapping'!$D:$D,"Yes")&gt;0,"Yes",""))</f>
        <v/>
      </c>
      <c r="H3">
        <f>IF(VLOOKUP($A3,'Control Groups'!$A:$D,3,FALSE)="Tier 0 – Universal","Yes",IF(COUNTIFS('Tier Category Mapping'!$A:$A,VLOOKUP($A3,'Control Groups'!$A:$D,3,FALSE),'Tier Category Mapping'!$B:$B,H2,'Tier Category Mapping'!$D:$D,"Yes")&gt;0,"Yes",""))</f>
        <v/>
      </c>
      <c r="I3">
        <f>IF(VLOOKUP($A3,'Control Groups'!$A:$D,3,FALSE)="Tier 0 – Universal","Yes",IF(COUNTIFS('Tier Category Mapping'!$A:$A,VLOOKUP($A3,'Control Groups'!$A:$D,3,FALSE),'Tier Category Mapping'!$B:$B,I2,'Tier Category Mapping'!$D:$D,"Yes")&gt;0,"Yes",""))</f>
        <v/>
      </c>
      <c r="J3">
        <f>IF(VLOOKUP($A3,'Control Groups'!$A:$D,3,FALSE)="Tier 0 – Universal","Yes",IF(COUNTIFS('Tier Category Mapping'!$A:$A,VLOOKUP($A3,'Control Groups'!$A:$D,3,FALSE),'Tier Category Mapping'!$B:$B,J2,'Tier Category Mapping'!$D:$D,"Yes")&gt;0,"Yes",""))</f>
        <v/>
      </c>
      <c r="K3">
        <f>IF(VLOOKUP($A3,'Control Groups'!$A:$D,3,FALSE)="Tier 0 – Universal","Yes",IF(COUNTIFS('Tier Category Mapping'!$A:$A,VLOOKUP($A3,'Control Groups'!$A:$D,3,FALSE),'Tier Category Mapping'!$B:$B,K2,'Tier Category Mapping'!$D:$D,"Yes")&gt;0,"Yes",""))</f>
        <v/>
      </c>
      <c r="L3">
        <f>IF(VLOOKUP($A3,'Control Groups'!$A:$D,3,FALSE)="Tier 0 – Universal","Yes",IF(COUNTIFS('Tier Category Mapping'!$A:$A,VLOOKUP($A3,'Control Groups'!$A:$D,3,FALSE),'Tier Category Mapping'!$B:$B,L2,'Tier Category Mapping'!$D:$D,"Yes")&gt;0,"Yes",""))</f>
        <v/>
      </c>
      <c r="M3">
        <f>IF(VLOOKUP($A3,'Control Groups'!$A:$D,3,FALSE)="Tier 0 – Universal","Yes",IF(COUNTIFS('Tier Category Mapping'!$A:$A,VLOOKUP($A3,'Control Groups'!$A:$D,3,FALSE),'Tier Category Mapping'!$B:$B,M2,'Tier Category Mapping'!$D:$D,"Yes")&gt;0,"Yes",""))</f>
        <v/>
      </c>
      <c r="N3">
        <f>IF(VLOOKUP($A3,'Control Groups'!$A:$D,3,FALSE)="Tier 0 – Universal","Yes",IF(COUNTIFS('Tier Category Mapping'!$A:$A,VLOOKUP($A3,'Control Groups'!$A:$D,3,FALSE),'Tier Category Mapping'!$B:$B,N2,'Tier Category Mapping'!$D:$D,"Yes")&gt;0,"Yes",""))</f>
        <v/>
      </c>
      <c r="O3">
        <f>IF(VLOOKUP($A3,'Control Groups'!$A:$D,3,FALSE)="Tier 0 – Universal","Yes",IF(COUNTIFS('Tier Category Mapping'!$A:$A,VLOOKUP($A3,'Control Groups'!$A:$D,3,FALSE),'Tier Category Mapping'!$B:$B,O2,'Tier Category Mapping'!$D:$D,"Yes")&gt;0,"Yes",""))</f>
        <v/>
      </c>
      <c r="P3">
        <f>IF(VLOOKUP($A3,'Control Groups'!$A:$D,3,FALSE)="Tier 0 – Universal","Yes",IF(COUNTIFS('Tier Category Mapping'!$A:$A,VLOOKUP($A3,'Control Groups'!$A:$D,3,FALSE),'Tier Category Mapping'!$B:$B,P2,'Tier Category Mapping'!$D:$D,"Yes")&gt;0,"Yes",""))</f>
        <v/>
      </c>
      <c r="Q3">
        <f>IF(VLOOKUP($A3,'Control Groups'!$A:$D,3,FALSE)="Tier 0 – Universal","Yes",IF(COUNTIFS('Tier Category Mapping'!$A:$A,VLOOKUP($A3,'Control Groups'!$A:$D,3,FALSE),'Tier Category Mapping'!$B:$B,Q2,'Tier Category Mapping'!$D:$D,"Yes")&gt;0,"Yes",""))</f>
        <v/>
      </c>
      <c r="R3">
        <f>IF(VLOOKUP($A3,'Control Groups'!$A:$D,3,FALSE)="Tier 0 – Universal","Yes",IF(COUNTIFS('Tier Category Mapping'!$A:$A,VLOOKUP($A3,'Control Groups'!$A:$D,3,FALSE),'Tier Category Mapping'!$B:$B,R2,'Tier Category Mapping'!$D:$D,"Yes")&gt;0,"Yes",""))</f>
        <v/>
      </c>
      <c r="S3">
        <f>IF(VLOOKUP($A3,'Control Groups'!$A:$D,3,FALSE)="Tier 0 – Universal","Yes",IF(COUNTIFS('Tier Category Mapping'!$A:$A,VLOOKUP($A3,'Control Groups'!$A:$D,3,FALSE),'Tier Category Mapping'!$B:$B,S2,'Tier Category Mapping'!$D:$D,"Yes")&gt;0,"Yes",""))</f>
        <v/>
      </c>
      <c r="T3">
        <f>IF(VLOOKUP($A3,'Control Groups'!$A:$D,3,FALSE)="Tier 0 – Universal","Yes",IF(COUNTIFS('Tier Category Mapping'!$A:$A,VLOOKUP($A3,'Control Groups'!$A:$D,3,FALSE),'Tier Category Mapping'!$B:$B,T2,'Tier Category Mapping'!$D:$D,"Yes")&gt;0,"Yes",""))</f>
        <v/>
      </c>
      <c r="U3">
        <f>IF(VLOOKUP($A3,'Control Groups'!$A:$D,3,FALSE)="Tier 0 – Universal","Yes",IF(COUNTIFS('Tier Category Mapping'!$A:$A,VLOOKUP($A3,'Control Groups'!$A:$D,3,FALSE),'Tier Category Mapping'!$B:$B,U2,'Tier Category Mapping'!$D:$D,"Yes")&gt;0,"Yes",""))</f>
        <v/>
      </c>
      <c r="V3">
        <f>IF(VLOOKUP($A3,'Control Groups'!$A:$D,3,FALSE)="Tier 0 – Universal","Yes",IF(COUNTIFS('Tier Category Mapping'!$A:$A,VLOOKUP($A3,'Control Groups'!$A:$D,3,FALSE),'Tier Category Mapping'!$B:$B,V2,'Tier Category Mapping'!$D:$D,"Yes")&gt;0,"Yes",""))</f>
        <v/>
      </c>
      <c r="W3">
        <f>IF(VLOOKUP($A3,'Control Groups'!$A:$D,3,FALSE)="Tier 0 – Universal","Yes",IF(COUNTIFS('Tier Category Mapping'!$A:$A,VLOOKUP($A3,'Control Groups'!$A:$D,3,FALSE),'Tier Category Mapping'!$B:$B,W2,'Tier Category Mapping'!$D:$D,"Yes")&gt;0,"Yes",""))</f>
        <v/>
      </c>
    </row>
    <row r="4">
      <c r="A4" t="inlineStr">
        <is>
          <t>AC-02</t>
        </is>
      </c>
      <c r="B4" t="inlineStr">
        <is>
          <t>Privileged access restricted</t>
        </is>
      </c>
      <c r="C4">
        <f>IF(VLOOKUP($A4,'Control Groups'!$A:$D,3,FALSE)="Tier 0 – Universal","Yes",IF(COUNTIFS('Tier Category Mapping'!$A:$A,VLOOKUP($A4,'Control Groups'!$A:$D,3,FALSE),'Tier Category Mapping'!$B:$B,C2,'Tier Category Mapping'!$D:$D,"Yes")&gt;0,"Yes",""))</f>
        <v/>
      </c>
      <c r="D4">
        <f>IF(VLOOKUP($A4,'Control Groups'!$A:$D,3,FALSE)="Tier 0 – Universal","Yes",IF(COUNTIFS('Tier Category Mapping'!$A:$A,VLOOKUP($A4,'Control Groups'!$A:$D,3,FALSE),'Tier Category Mapping'!$B:$B,D2,'Tier Category Mapping'!$D:$D,"Yes")&gt;0,"Yes",""))</f>
        <v/>
      </c>
      <c r="E4">
        <f>IF(VLOOKUP($A4,'Control Groups'!$A:$D,3,FALSE)="Tier 0 – Universal","Yes",IF(COUNTIFS('Tier Category Mapping'!$A:$A,VLOOKUP($A4,'Control Groups'!$A:$D,3,FALSE),'Tier Category Mapping'!$B:$B,E2,'Tier Category Mapping'!$D:$D,"Yes")&gt;0,"Yes",""))</f>
        <v/>
      </c>
      <c r="F4">
        <f>IF(VLOOKUP($A4,'Control Groups'!$A:$D,3,FALSE)="Tier 0 – Universal","Yes",IF(COUNTIFS('Tier Category Mapping'!$A:$A,VLOOKUP($A4,'Control Groups'!$A:$D,3,FALSE),'Tier Category Mapping'!$B:$B,F2,'Tier Category Mapping'!$D:$D,"Yes")&gt;0,"Yes",""))</f>
        <v/>
      </c>
      <c r="G4">
        <f>IF(VLOOKUP($A4,'Control Groups'!$A:$D,3,FALSE)="Tier 0 – Universal","Yes",IF(COUNTIFS('Tier Category Mapping'!$A:$A,VLOOKUP($A4,'Control Groups'!$A:$D,3,FALSE),'Tier Category Mapping'!$B:$B,G2,'Tier Category Mapping'!$D:$D,"Yes")&gt;0,"Yes",""))</f>
        <v/>
      </c>
      <c r="H4">
        <f>IF(VLOOKUP($A4,'Control Groups'!$A:$D,3,FALSE)="Tier 0 – Universal","Yes",IF(COUNTIFS('Tier Category Mapping'!$A:$A,VLOOKUP($A4,'Control Groups'!$A:$D,3,FALSE),'Tier Category Mapping'!$B:$B,H2,'Tier Category Mapping'!$D:$D,"Yes")&gt;0,"Yes",""))</f>
        <v/>
      </c>
      <c r="I4">
        <f>IF(VLOOKUP($A4,'Control Groups'!$A:$D,3,FALSE)="Tier 0 – Universal","Yes",IF(COUNTIFS('Tier Category Mapping'!$A:$A,VLOOKUP($A4,'Control Groups'!$A:$D,3,FALSE),'Tier Category Mapping'!$B:$B,I2,'Tier Category Mapping'!$D:$D,"Yes")&gt;0,"Yes",""))</f>
        <v/>
      </c>
      <c r="J4">
        <f>IF(VLOOKUP($A4,'Control Groups'!$A:$D,3,FALSE)="Tier 0 – Universal","Yes",IF(COUNTIFS('Tier Category Mapping'!$A:$A,VLOOKUP($A4,'Control Groups'!$A:$D,3,FALSE),'Tier Category Mapping'!$B:$B,J2,'Tier Category Mapping'!$D:$D,"Yes")&gt;0,"Yes",""))</f>
        <v/>
      </c>
      <c r="K4">
        <f>IF(VLOOKUP($A4,'Control Groups'!$A:$D,3,FALSE)="Tier 0 – Universal","Yes",IF(COUNTIFS('Tier Category Mapping'!$A:$A,VLOOKUP($A4,'Control Groups'!$A:$D,3,FALSE),'Tier Category Mapping'!$B:$B,K2,'Tier Category Mapping'!$D:$D,"Yes")&gt;0,"Yes",""))</f>
        <v/>
      </c>
      <c r="L4">
        <f>IF(VLOOKUP($A4,'Control Groups'!$A:$D,3,FALSE)="Tier 0 – Universal","Yes",IF(COUNTIFS('Tier Category Mapping'!$A:$A,VLOOKUP($A4,'Control Groups'!$A:$D,3,FALSE),'Tier Category Mapping'!$B:$B,L2,'Tier Category Mapping'!$D:$D,"Yes")&gt;0,"Yes",""))</f>
        <v/>
      </c>
      <c r="M4">
        <f>IF(VLOOKUP($A4,'Control Groups'!$A:$D,3,FALSE)="Tier 0 – Universal","Yes",IF(COUNTIFS('Tier Category Mapping'!$A:$A,VLOOKUP($A4,'Control Groups'!$A:$D,3,FALSE),'Tier Category Mapping'!$B:$B,M2,'Tier Category Mapping'!$D:$D,"Yes")&gt;0,"Yes",""))</f>
        <v/>
      </c>
      <c r="N4">
        <f>IF(VLOOKUP($A4,'Control Groups'!$A:$D,3,FALSE)="Tier 0 – Universal","Yes",IF(COUNTIFS('Tier Category Mapping'!$A:$A,VLOOKUP($A4,'Control Groups'!$A:$D,3,FALSE),'Tier Category Mapping'!$B:$B,N2,'Tier Category Mapping'!$D:$D,"Yes")&gt;0,"Yes",""))</f>
        <v/>
      </c>
      <c r="O4">
        <f>IF(VLOOKUP($A4,'Control Groups'!$A:$D,3,FALSE)="Tier 0 – Universal","Yes",IF(COUNTIFS('Tier Category Mapping'!$A:$A,VLOOKUP($A4,'Control Groups'!$A:$D,3,FALSE),'Tier Category Mapping'!$B:$B,O2,'Tier Category Mapping'!$D:$D,"Yes")&gt;0,"Yes",""))</f>
        <v/>
      </c>
      <c r="P4">
        <f>IF(VLOOKUP($A4,'Control Groups'!$A:$D,3,FALSE)="Tier 0 – Universal","Yes",IF(COUNTIFS('Tier Category Mapping'!$A:$A,VLOOKUP($A4,'Control Groups'!$A:$D,3,FALSE),'Tier Category Mapping'!$B:$B,P2,'Tier Category Mapping'!$D:$D,"Yes")&gt;0,"Yes",""))</f>
        <v/>
      </c>
      <c r="Q4">
        <f>IF(VLOOKUP($A4,'Control Groups'!$A:$D,3,FALSE)="Tier 0 – Universal","Yes",IF(COUNTIFS('Tier Category Mapping'!$A:$A,VLOOKUP($A4,'Control Groups'!$A:$D,3,FALSE),'Tier Category Mapping'!$B:$B,Q2,'Tier Category Mapping'!$D:$D,"Yes")&gt;0,"Yes",""))</f>
        <v/>
      </c>
      <c r="R4">
        <f>IF(VLOOKUP($A4,'Control Groups'!$A:$D,3,FALSE)="Tier 0 – Universal","Yes",IF(COUNTIFS('Tier Category Mapping'!$A:$A,VLOOKUP($A4,'Control Groups'!$A:$D,3,FALSE),'Tier Category Mapping'!$B:$B,R2,'Tier Category Mapping'!$D:$D,"Yes")&gt;0,"Yes",""))</f>
        <v/>
      </c>
      <c r="S4">
        <f>IF(VLOOKUP($A4,'Control Groups'!$A:$D,3,FALSE)="Tier 0 – Universal","Yes",IF(COUNTIFS('Tier Category Mapping'!$A:$A,VLOOKUP($A4,'Control Groups'!$A:$D,3,FALSE),'Tier Category Mapping'!$B:$B,S2,'Tier Category Mapping'!$D:$D,"Yes")&gt;0,"Yes",""))</f>
        <v/>
      </c>
      <c r="T4">
        <f>IF(VLOOKUP($A4,'Control Groups'!$A:$D,3,FALSE)="Tier 0 – Universal","Yes",IF(COUNTIFS('Tier Category Mapping'!$A:$A,VLOOKUP($A4,'Control Groups'!$A:$D,3,FALSE),'Tier Category Mapping'!$B:$B,T2,'Tier Category Mapping'!$D:$D,"Yes")&gt;0,"Yes",""))</f>
        <v/>
      </c>
      <c r="U4">
        <f>IF(VLOOKUP($A4,'Control Groups'!$A:$D,3,FALSE)="Tier 0 – Universal","Yes",IF(COUNTIFS('Tier Category Mapping'!$A:$A,VLOOKUP($A4,'Control Groups'!$A:$D,3,FALSE),'Tier Category Mapping'!$B:$B,U2,'Tier Category Mapping'!$D:$D,"Yes")&gt;0,"Yes",""))</f>
        <v/>
      </c>
      <c r="V4">
        <f>IF(VLOOKUP($A4,'Control Groups'!$A:$D,3,FALSE)="Tier 0 – Universal","Yes",IF(COUNTIFS('Tier Category Mapping'!$A:$A,VLOOKUP($A4,'Control Groups'!$A:$D,3,FALSE),'Tier Category Mapping'!$B:$B,V2,'Tier Category Mapping'!$D:$D,"Yes")&gt;0,"Yes",""))</f>
        <v/>
      </c>
      <c r="W4">
        <f>IF(VLOOKUP($A4,'Control Groups'!$A:$D,3,FALSE)="Tier 0 – Universal","Yes",IF(COUNTIFS('Tier Category Mapping'!$A:$A,VLOOKUP($A4,'Control Groups'!$A:$D,3,FALSE),'Tier Category Mapping'!$B:$B,W2,'Tier Category Mapping'!$D:$D,"Yes")&gt;0,"Yes",""))</f>
        <v/>
      </c>
    </row>
    <row r="5">
      <c r="A5" t="inlineStr">
        <is>
          <t>AC-03</t>
        </is>
      </c>
      <c r="B5" t="inlineStr">
        <is>
          <t>MFA enabled where supported</t>
        </is>
      </c>
      <c r="C5">
        <f>IF(VLOOKUP($A5,'Control Groups'!$A:$D,3,FALSE)="Tier 0 – Universal","Yes",IF(COUNTIFS('Tier Category Mapping'!$A:$A,VLOOKUP($A5,'Control Groups'!$A:$D,3,FALSE),'Tier Category Mapping'!$B:$B,C2,'Tier Category Mapping'!$D:$D,"Yes")&gt;0,"Yes",""))</f>
        <v/>
      </c>
      <c r="D5">
        <f>IF(VLOOKUP($A5,'Control Groups'!$A:$D,3,FALSE)="Tier 0 – Universal","Yes",IF(COUNTIFS('Tier Category Mapping'!$A:$A,VLOOKUP($A5,'Control Groups'!$A:$D,3,FALSE),'Tier Category Mapping'!$B:$B,D2,'Tier Category Mapping'!$D:$D,"Yes")&gt;0,"Yes",""))</f>
        <v/>
      </c>
      <c r="E5">
        <f>IF(VLOOKUP($A5,'Control Groups'!$A:$D,3,FALSE)="Tier 0 – Universal","Yes",IF(COUNTIFS('Tier Category Mapping'!$A:$A,VLOOKUP($A5,'Control Groups'!$A:$D,3,FALSE),'Tier Category Mapping'!$B:$B,E2,'Tier Category Mapping'!$D:$D,"Yes")&gt;0,"Yes",""))</f>
        <v/>
      </c>
      <c r="F5">
        <f>IF(VLOOKUP($A5,'Control Groups'!$A:$D,3,FALSE)="Tier 0 – Universal","Yes",IF(COUNTIFS('Tier Category Mapping'!$A:$A,VLOOKUP($A5,'Control Groups'!$A:$D,3,FALSE),'Tier Category Mapping'!$B:$B,F2,'Tier Category Mapping'!$D:$D,"Yes")&gt;0,"Yes",""))</f>
        <v/>
      </c>
      <c r="G5">
        <f>IF(VLOOKUP($A5,'Control Groups'!$A:$D,3,FALSE)="Tier 0 – Universal","Yes",IF(COUNTIFS('Tier Category Mapping'!$A:$A,VLOOKUP($A5,'Control Groups'!$A:$D,3,FALSE),'Tier Category Mapping'!$B:$B,G2,'Tier Category Mapping'!$D:$D,"Yes")&gt;0,"Yes",""))</f>
        <v/>
      </c>
      <c r="H5">
        <f>IF(VLOOKUP($A5,'Control Groups'!$A:$D,3,FALSE)="Tier 0 – Universal","Yes",IF(COUNTIFS('Tier Category Mapping'!$A:$A,VLOOKUP($A5,'Control Groups'!$A:$D,3,FALSE),'Tier Category Mapping'!$B:$B,H2,'Tier Category Mapping'!$D:$D,"Yes")&gt;0,"Yes",""))</f>
        <v/>
      </c>
      <c r="I5">
        <f>IF(VLOOKUP($A5,'Control Groups'!$A:$D,3,FALSE)="Tier 0 – Universal","Yes",IF(COUNTIFS('Tier Category Mapping'!$A:$A,VLOOKUP($A5,'Control Groups'!$A:$D,3,FALSE),'Tier Category Mapping'!$B:$B,I2,'Tier Category Mapping'!$D:$D,"Yes")&gt;0,"Yes",""))</f>
        <v/>
      </c>
      <c r="J5">
        <f>IF(VLOOKUP($A5,'Control Groups'!$A:$D,3,FALSE)="Tier 0 – Universal","Yes",IF(COUNTIFS('Tier Category Mapping'!$A:$A,VLOOKUP($A5,'Control Groups'!$A:$D,3,FALSE),'Tier Category Mapping'!$B:$B,J2,'Tier Category Mapping'!$D:$D,"Yes")&gt;0,"Yes",""))</f>
        <v/>
      </c>
      <c r="K5">
        <f>IF(VLOOKUP($A5,'Control Groups'!$A:$D,3,FALSE)="Tier 0 – Universal","Yes",IF(COUNTIFS('Tier Category Mapping'!$A:$A,VLOOKUP($A5,'Control Groups'!$A:$D,3,FALSE),'Tier Category Mapping'!$B:$B,K2,'Tier Category Mapping'!$D:$D,"Yes")&gt;0,"Yes",""))</f>
        <v/>
      </c>
      <c r="L5">
        <f>IF(VLOOKUP($A5,'Control Groups'!$A:$D,3,FALSE)="Tier 0 – Universal","Yes",IF(COUNTIFS('Tier Category Mapping'!$A:$A,VLOOKUP($A5,'Control Groups'!$A:$D,3,FALSE),'Tier Category Mapping'!$B:$B,L2,'Tier Category Mapping'!$D:$D,"Yes")&gt;0,"Yes",""))</f>
        <v/>
      </c>
      <c r="M5">
        <f>IF(VLOOKUP($A5,'Control Groups'!$A:$D,3,FALSE)="Tier 0 – Universal","Yes",IF(COUNTIFS('Tier Category Mapping'!$A:$A,VLOOKUP($A5,'Control Groups'!$A:$D,3,FALSE),'Tier Category Mapping'!$B:$B,M2,'Tier Category Mapping'!$D:$D,"Yes")&gt;0,"Yes",""))</f>
        <v/>
      </c>
      <c r="N5">
        <f>IF(VLOOKUP($A5,'Control Groups'!$A:$D,3,FALSE)="Tier 0 – Universal","Yes",IF(COUNTIFS('Tier Category Mapping'!$A:$A,VLOOKUP($A5,'Control Groups'!$A:$D,3,FALSE),'Tier Category Mapping'!$B:$B,N2,'Tier Category Mapping'!$D:$D,"Yes")&gt;0,"Yes",""))</f>
        <v/>
      </c>
      <c r="O5">
        <f>IF(VLOOKUP($A5,'Control Groups'!$A:$D,3,FALSE)="Tier 0 – Universal","Yes",IF(COUNTIFS('Tier Category Mapping'!$A:$A,VLOOKUP($A5,'Control Groups'!$A:$D,3,FALSE),'Tier Category Mapping'!$B:$B,O2,'Tier Category Mapping'!$D:$D,"Yes")&gt;0,"Yes",""))</f>
        <v/>
      </c>
      <c r="P5">
        <f>IF(VLOOKUP($A5,'Control Groups'!$A:$D,3,FALSE)="Tier 0 – Universal","Yes",IF(COUNTIFS('Tier Category Mapping'!$A:$A,VLOOKUP($A5,'Control Groups'!$A:$D,3,FALSE),'Tier Category Mapping'!$B:$B,P2,'Tier Category Mapping'!$D:$D,"Yes")&gt;0,"Yes",""))</f>
        <v/>
      </c>
      <c r="Q5">
        <f>IF(VLOOKUP($A5,'Control Groups'!$A:$D,3,FALSE)="Tier 0 – Universal","Yes",IF(COUNTIFS('Tier Category Mapping'!$A:$A,VLOOKUP($A5,'Control Groups'!$A:$D,3,FALSE),'Tier Category Mapping'!$B:$B,Q2,'Tier Category Mapping'!$D:$D,"Yes")&gt;0,"Yes",""))</f>
        <v/>
      </c>
      <c r="R5">
        <f>IF(VLOOKUP($A5,'Control Groups'!$A:$D,3,FALSE)="Tier 0 – Universal","Yes",IF(COUNTIFS('Tier Category Mapping'!$A:$A,VLOOKUP($A5,'Control Groups'!$A:$D,3,FALSE),'Tier Category Mapping'!$B:$B,R2,'Tier Category Mapping'!$D:$D,"Yes")&gt;0,"Yes",""))</f>
        <v/>
      </c>
      <c r="S5">
        <f>IF(VLOOKUP($A5,'Control Groups'!$A:$D,3,FALSE)="Tier 0 – Universal","Yes",IF(COUNTIFS('Tier Category Mapping'!$A:$A,VLOOKUP($A5,'Control Groups'!$A:$D,3,FALSE),'Tier Category Mapping'!$B:$B,S2,'Tier Category Mapping'!$D:$D,"Yes")&gt;0,"Yes",""))</f>
        <v/>
      </c>
      <c r="T5">
        <f>IF(VLOOKUP($A5,'Control Groups'!$A:$D,3,FALSE)="Tier 0 – Universal","Yes",IF(COUNTIFS('Tier Category Mapping'!$A:$A,VLOOKUP($A5,'Control Groups'!$A:$D,3,FALSE),'Tier Category Mapping'!$B:$B,T2,'Tier Category Mapping'!$D:$D,"Yes")&gt;0,"Yes",""))</f>
        <v/>
      </c>
      <c r="U5">
        <f>IF(VLOOKUP($A5,'Control Groups'!$A:$D,3,FALSE)="Tier 0 – Universal","Yes",IF(COUNTIFS('Tier Category Mapping'!$A:$A,VLOOKUP($A5,'Control Groups'!$A:$D,3,FALSE),'Tier Category Mapping'!$B:$B,U2,'Tier Category Mapping'!$D:$D,"Yes")&gt;0,"Yes",""))</f>
        <v/>
      </c>
      <c r="V5">
        <f>IF(VLOOKUP($A5,'Control Groups'!$A:$D,3,FALSE)="Tier 0 – Universal","Yes",IF(COUNTIFS('Tier Category Mapping'!$A:$A,VLOOKUP($A5,'Control Groups'!$A:$D,3,FALSE),'Tier Category Mapping'!$B:$B,V2,'Tier Category Mapping'!$D:$D,"Yes")&gt;0,"Yes",""))</f>
        <v/>
      </c>
      <c r="W5">
        <f>IF(VLOOKUP($A5,'Control Groups'!$A:$D,3,FALSE)="Tier 0 – Universal","Yes",IF(COUNTIFS('Tier Category Mapping'!$A:$A,VLOOKUP($A5,'Control Groups'!$A:$D,3,FALSE),'Tier Category Mapping'!$B:$B,W2,'Tier Category Mapping'!$D:$D,"Yes")&gt;0,"Yes",""))</f>
        <v/>
      </c>
    </row>
    <row r="6">
      <c r="A6" t="inlineStr">
        <is>
          <t>AC-04</t>
        </is>
      </c>
      <c r="B6" t="inlineStr">
        <is>
          <t>Automatic screen lock enforced</t>
        </is>
      </c>
      <c r="C6">
        <f>IF(VLOOKUP($A6,'Control Groups'!$A:$D,3,FALSE)="Tier 0 – Universal","Yes",IF(COUNTIFS('Tier Category Mapping'!$A:$A,VLOOKUP($A6,'Control Groups'!$A:$D,3,FALSE),'Tier Category Mapping'!$B:$B,C2,'Tier Category Mapping'!$D:$D,"Yes")&gt;0,"Yes",""))</f>
        <v/>
      </c>
      <c r="D6">
        <f>IF(VLOOKUP($A6,'Control Groups'!$A:$D,3,FALSE)="Tier 0 – Universal","Yes",IF(COUNTIFS('Tier Category Mapping'!$A:$A,VLOOKUP($A6,'Control Groups'!$A:$D,3,FALSE),'Tier Category Mapping'!$B:$B,D2,'Tier Category Mapping'!$D:$D,"Yes")&gt;0,"Yes",""))</f>
        <v/>
      </c>
      <c r="E6">
        <f>IF(VLOOKUP($A6,'Control Groups'!$A:$D,3,FALSE)="Tier 0 – Universal","Yes",IF(COUNTIFS('Tier Category Mapping'!$A:$A,VLOOKUP($A6,'Control Groups'!$A:$D,3,FALSE),'Tier Category Mapping'!$B:$B,E2,'Tier Category Mapping'!$D:$D,"Yes")&gt;0,"Yes",""))</f>
        <v/>
      </c>
      <c r="F6">
        <f>IF(VLOOKUP($A6,'Control Groups'!$A:$D,3,FALSE)="Tier 0 – Universal","Yes",IF(COUNTIFS('Tier Category Mapping'!$A:$A,VLOOKUP($A6,'Control Groups'!$A:$D,3,FALSE),'Tier Category Mapping'!$B:$B,F2,'Tier Category Mapping'!$D:$D,"Yes")&gt;0,"Yes",""))</f>
        <v/>
      </c>
      <c r="G6">
        <f>IF(VLOOKUP($A6,'Control Groups'!$A:$D,3,FALSE)="Tier 0 – Universal","Yes",IF(COUNTIFS('Tier Category Mapping'!$A:$A,VLOOKUP($A6,'Control Groups'!$A:$D,3,FALSE),'Tier Category Mapping'!$B:$B,G2,'Tier Category Mapping'!$D:$D,"Yes")&gt;0,"Yes",""))</f>
        <v/>
      </c>
      <c r="H6">
        <f>IF(VLOOKUP($A6,'Control Groups'!$A:$D,3,FALSE)="Tier 0 – Universal","Yes",IF(COUNTIFS('Tier Category Mapping'!$A:$A,VLOOKUP($A6,'Control Groups'!$A:$D,3,FALSE),'Tier Category Mapping'!$B:$B,H2,'Tier Category Mapping'!$D:$D,"Yes")&gt;0,"Yes",""))</f>
        <v/>
      </c>
      <c r="I6">
        <f>IF(VLOOKUP($A6,'Control Groups'!$A:$D,3,FALSE)="Tier 0 – Universal","Yes",IF(COUNTIFS('Tier Category Mapping'!$A:$A,VLOOKUP($A6,'Control Groups'!$A:$D,3,FALSE),'Tier Category Mapping'!$B:$B,I2,'Tier Category Mapping'!$D:$D,"Yes")&gt;0,"Yes",""))</f>
        <v/>
      </c>
      <c r="J6">
        <f>IF(VLOOKUP($A6,'Control Groups'!$A:$D,3,FALSE)="Tier 0 – Universal","Yes",IF(COUNTIFS('Tier Category Mapping'!$A:$A,VLOOKUP($A6,'Control Groups'!$A:$D,3,FALSE),'Tier Category Mapping'!$B:$B,J2,'Tier Category Mapping'!$D:$D,"Yes")&gt;0,"Yes",""))</f>
        <v/>
      </c>
      <c r="K6">
        <f>IF(VLOOKUP($A6,'Control Groups'!$A:$D,3,FALSE)="Tier 0 – Universal","Yes",IF(COUNTIFS('Tier Category Mapping'!$A:$A,VLOOKUP($A6,'Control Groups'!$A:$D,3,FALSE),'Tier Category Mapping'!$B:$B,K2,'Tier Category Mapping'!$D:$D,"Yes")&gt;0,"Yes",""))</f>
        <v/>
      </c>
      <c r="L6">
        <f>IF(VLOOKUP($A6,'Control Groups'!$A:$D,3,FALSE)="Tier 0 – Universal","Yes",IF(COUNTIFS('Tier Category Mapping'!$A:$A,VLOOKUP($A6,'Control Groups'!$A:$D,3,FALSE),'Tier Category Mapping'!$B:$B,L2,'Tier Category Mapping'!$D:$D,"Yes")&gt;0,"Yes",""))</f>
        <v/>
      </c>
      <c r="M6">
        <f>IF(VLOOKUP($A6,'Control Groups'!$A:$D,3,FALSE)="Tier 0 – Universal","Yes",IF(COUNTIFS('Tier Category Mapping'!$A:$A,VLOOKUP($A6,'Control Groups'!$A:$D,3,FALSE),'Tier Category Mapping'!$B:$B,M2,'Tier Category Mapping'!$D:$D,"Yes")&gt;0,"Yes",""))</f>
        <v/>
      </c>
      <c r="N6">
        <f>IF(VLOOKUP($A6,'Control Groups'!$A:$D,3,FALSE)="Tier 0 – Universal","Yes",IF(COUNTIFS('Tier Category Mapping'!$A:$A,VLOOKUP($A6,'Control Groups'!$A:$D,3,FALSE),'Tier Category Mapping'!$B:$B,N2,'Tier Category Mapping'!$D:$D,"Yes")&gt;0,"Yes",""))</f>
        <v/>
      </c>
      <c r="O6">
        <f>IF(VLOOKUP($A6,'Control Groups'!$A:$D,3,FALSE)="Tier 0 – Universal","Yes",IF(COUNTIFS('Tier Category Mapping'!$A:$A,VLOOKUP($A6,'Control Groups'!$A:$D,3,FALSE),'Tier Category Mapping'!$B:$B,O2,'Tier Category Mapping'!$D:$D,"Yes")&gt;0,"Yes",""))</f>
        <v/>
      </c>
      <c r="P6">
        <f>IF(VLOOKUP($A6,'Control Groups'!$A:$D,3,FALSE)="Tier 0 – Universal","Yes",IF(COUNTIFS('Tier Category Mapping'!$A:$A,VLOOKUP($A6,'Control Groups'!$A:$D,3,FALSE),'Tier Category Mapping'!$B:$B,P2,'Tier Category Mapping'!$D:$D,"Yes")&gt;0,"Yes",""))</f>
        <v/>
      </c>
      <c r="Q6">
        <f>IF(VLOOKUP($A6,'Control Groups'!$A:$D,3,FALSE)="Tier 0 – Universal","Yes",IF(COUNTIFS('Tier Category Mapping'!$A:$A,VLOOKUP($A6,'Control Groups'!$A:$D,3,FALSE),'Tier Category Mapping'!$B:$B,Q2,'Tier Category Mapping'!$D:$D,"Yes")&gt;0,"Yes",""))</f>
        <v/>
      </c>
      <c r="R6">
        <f>IF(VLOOKUP($A6,'Control Groups'!$A:$D,3,FALSE)="Tier 0 – Universal","Yes",IF(COUNTIFS('Tier Category Mapping'!$A:$A,VLOOKUP($A6,'Control Groups'!$A:$D,3,FALSE),'Tier Category Mapping'!$B:$B,R2,'Tier Category Mapping'!$D:$D,"Yes")&gt;0,"Yes",""))</f>
        <v/>
      </c>
      <c r="S6">
        <f>IF(VLOOKUP($A6,'Control Groups'!$A:$D,3,FALSE)="Tier 0 – Universal","Yes",IF(COUNTIFS('Tier Category Mapping'!$A:$A,VLOOKUP($A6,'Control Groups'!$A:$D,3,FALSE),'Tier Category Mapping'!$B:$B,S2,'Tier Category Mapping'!$D:$D,"Yes")&gt;0,"Yes",""))</f>
        <v/>
      </c>
      <c r="T6">
        <f>IF(VLOOKUP($A6,'Control Groups'!$A:$D,3,FALSE)="Tier 0 – Universal","Yes",IF(COUNTIFS('Tier Category Mapping'!$A:$A,VLOOKUP($A6,'Control Groups'!$A:$D,3,FALSE),'Tier Category Mapping'!$B:$B,T2,'Tier Category Mapping'!$D:$D,"Yes")&gt;0,"Yes",""))</f>
        <v/>
      </c>
      <c r="U6">
        <f>IF(VLOOKUP($A6,'Control Groups'!$A:$D,3,FALSE)="Tier 0 – Universal","Yes",IF(COUNTIFS('Tier Category Mapping'!$A:$A,VLOOKUP($A6,'Control Groups'!$A:$D,3,FALSE),'Tier Category Mapping'!$B:$B,U2,'Tier Category Mapping'!$D:$D,"Yes")&gt;0,"Yes",""))</f>
        <v/>
      </c>
      <c r="V6">
        <f>IF(VLOOKUP($A6,'Control Groups'!$A:$D,3,FALSE)="Tier 0 – Universal","Yes",IF(COUNTIFS('Tier Category Mapping'!$A:$A,VLOOKUP($A6,'Control Groups'!$A:$D,3,FALSE),'Tier Category Mapping'!$B:$B,V2,'Tier Category Mapping'!$D:$D,"Yes")&gt;0,"Yes",""))</f>
        <v/>
      </c>
      <c r="W6">
        <f>IF(VLOOKUP($A6,'Control Groups'!$A:$D,3,FALSE)="Tier 0 – Universal","Yes",IF(COUNTIFS('Tier Category Mapping'!$A:$A,VLOOKUP($A6,'Control Groups'!$A:$D,3,FALSE),'Tier Category Mapping'!$B:$B,W2,'Tier Category Mapping'!$D:$D,"Yes")&gt;0,"Yes",""))</f>
        <v/>
      </c>
    </row>
    <row r="7">
      <c r="A7" t="inlineStr">
        <is>
          <t>SH-01</t>
        </is>
      </c>
      <c r="B7" t="inlineStr">
        <is>
          <t>Secure baseline applied</t>
        </is>
      </c>
      <c r="C7">
        <f>IF(VLOOKUP($A7,'Control Groups'!$A:$D,3,FALSE)="Tier 0 – Universal","Yes",IF(COUNTIFS('Tier Category Mapping'!$A:$A,VLOOKUP($A7,'Control Groups'!$A:$D,3,FALSE),'Tier Category Mapping'!$B:$B,C2,'Tier Category Mapping'!$D:$D,"Yes")&gt;0,"Yes",""))</f>
        <v/>
      </c>
      <c r="D7">
        <f>IF(VLOOKUP($A7,'Control Groups'!$A:$D,3,FALSE)="Tier 0 – Universal","Yes",IF(COUNTIFS('Tier Category Mapping'!$A:$A,VLOOKUP($A7,'Control Groups'!$A:$D,3,FALSE),'Tier Category Mapping'!$B:$B,D2,'Tier Category Mapping'!$D:$D,"Yes")&gt;0,"Yes",""))</f>
        <v/>
      </c>
      <c r="E7">
        <f>IF(VLOOKUP($A7,'Control Groups'!$A:$D,3,FALSE)="Tier 0 – Universal","Yes",IF(COUNTIFS('Tier Category Mapping'!$A:$A,VLOOKUP($A7,'Control Groups'!$A:$D,3,FALSE),'Tier Category Mapping'!$B:$B,E2,'Tier Category Mapping'!$D:$D,"Yes")&gt;0,"Yes",""))</f>
        <v/>
      </c>
      <c r="F7">
        <f>IF(VLOOKUP($A7,'Control Groups'!$A:$D,3,FALSE)="Tier 0 – Universal","Yes",IF(COUNTIFS('Tier Category Mapping'!$A:$A,VLOOKUP($A7,'Control Groups'!$A:$D,3,FALSE),'Tier Category Mapping'!$B:$B,F2,'Tier Category Mapping'!$D:$D,"Yes")&gt;0,"Yes",""))</f>
        <v/>
      </c>
      <c r="G7">
        <f>IF(VLOOKUP($A7,'Control Groups'!$A:$D,3,FALSE)="Tier 0 – Universal","Yes",IF(COUNTIFS('Tier Category Mapping'!$A:$A,VLOOKUP($A7,'Control Groups'!$A:$D,3,FALSE),'Tier Category Mapping'!$B:$B,G2,'Tier Category Mapping'!$D:$D,"Yes")&gt;0,"Yes",""))</f>
        <v/>
      </c>
      <c r="H7">
        <f>IF(VLOOKUP($A7,'Control Groups'!$A:$D,3,FALSE)="Tier 0 – Universal","Yes",IF(COUNTIFS('Tier Category Mapping'!$A:$A,VLOOKUP($A7,'Control Groups'!$A:$D,3,FALSE),'Tier Category Mapping'!$B:$B,H2,'Tier Category Mapping'!$D:$D,"Yes")&gt;0,"Yes",""))</f>
        <v/>
      </c>
      <c r="I7">
        <f>IF(VLOOKUP($A7,'Control Groups'!$A:$D,3,FALSE)="Tier 0 – Universal","Yes",IF(COUNTIFS('Tier Category Mapping'!$A:$A,VLOOKUP($A7,'Control Groups'!$A:$D,3,FALSE),'Tier Category Mapping'!$B:$B,I2,'Tier Category Mapping'!$D:$D,"Yes")&gt;0,"Yes",""))</f>
        <v/>
      </c>
      <c r="J7">
        <f>IF(VLOOKUP($A7,'Control Groups'!$A:$D,3,FALSE)="Tier 0 – Universal","Yes",IF(COUNTIFS('Tier Category Mapping'!$A:$A,VLOOKUP($A7,'Control Groups'!$A:$D,3,FALSE),'Tier Category Mapping'!$B:$B,J2,'Tier Category Mapping'!$D:$D,"Yes")&gt;0,"Yes",""))</f>
        <v/>
      </c>
      <c r="K7">
        <f>IF(VLOOKUP($A7,'Control Groups'!$A:$D,3,FALSE)="Tier 0 – Universal","Yes",IF(COUNTIFS('Tier Category Mapping'!$A:$A,VLOOKUP($A7,'Control Groups'!$A:$D,3,FALSE),'Tier Category Mapping'!$B:$B,K2,'Tier Category Mapping'!$D:$D,"Yes")&gt;0,"Yes",""))</f>
        <v/>
      </c>
      <c r="L7">
        <f>IF(VLOOKUP($A7,'Control Groups'!$A:$D,3,FALSE)="Tier 0 – Universal","Yes",IF(COUNTIFS('Tier Category Mapping'!$A:$A,VLOOKUP($A7,'Control Groups'!$A:$D,3,FALSE),'Tier Category Mapping'!$B:$B,L2,'Tier Category Mapping'!$D:$D,"Yes")&gt;0,"Yes",""))</f>
        <v/>
      </c>
      <c r="M7">
        <f>IF(VLOOKUP($A7,'Control Groups'!$A:$D,3,FALSE)="Tier 0 – Universal","Yes",IF(COUNTIFS('Tier Category Mapping'!$A:$A,VLOOKUP($A7,'Control Groups'!$A:$D,3,FALSE),'Tier Category Mapping'!$B:$B,M2,'Tier Category Mapping'!$D:$D,"Yes")&gt;0,"Yes",""))</f>
        <v/>
      </c>
      <c r="N7">
        <f>IF(VLOOKUP($A7,'Control Groups'!$A:$D,3,FALSE)="Tier 0 – Universal","Yes",IF(COUNTIFS('Tier Category Mapping'!$A:$A,VLOOKUP($A7,'Control Groups'!$A:$D,3,FALSE),'Tier Category Mapping'!$B:$B,N2,'Tier Category Mapping'!$D:$D,"Yes")&gt;0,"Yes",""))</f>
        <v/>
      </c>
      <c r="O7">
        <f>IF(VLOOKUP($A7,'Control Groups'!$A:$D,3,FALSE)="Tier 0 – Universal","Yes",IF(COUNTIFS('Tier Category Mapping'!$A:$A,VLOOKUP($A7,'Control Groups'!$A:$D,3,FALSE),'Tier Category Mapping'!$B:$B,O2,'Tier Category Mapping'!$D:$D,"Yes")&gt;0,"Yes",""))</f>
        <v/>
      </c>
      <c r="P7">
        <f>IF(VLOOKUP($A7,'Control Groups'!$A:$D,3,FALSE)="Tier 0 – Universal","Yes",IF(COUNTIFS('Tier Category Mapping'!$A:$A,VLOOKUP($A7,'Control Groups'!$A:$D,3,FALSE),'Tier Category Mapping'!$B:$B,P2,'Tier Category Mapping'!$D:$D,"Yes")&gt;0,"Yes",""))</f>
        <v/>
      </c>
      <c r="Q7">
        <f>IF(VLOOKUP($A7,'Control Groups'!$A:$D,3,FALSE)="Tier 0 – Universal","Yes",IF(COUNTIFS('Tier Category Mapping'!$A:$A,VLOOKUP($A7,'Control Groups'!$A:$D,3,FALSE),'Tier Category Mapping'!$B:$B,Q2,'Tier Category Mapping'!$D:$D,"Yes")&gt;0,"Yes",""))</f>
        <v/>
      </c>
      <c r="R7">
        <f>IF(VLOOKUP($A7,'Control Groups'!$A:$D,3,FALSE)="Tier 0 – Universal","Yes",IF(COUNTIFS('Tier Category Mapping'!$A:$A,VLOOKUP($A7,'Control Groups'!$A:$D,3,FALSE),'Tier Category Mapping'!$B:$B,R2,'Tier Category Mapping'!$D:$D,"Yes")&gt;0,"Yes",""))</f>
        <v/>
      </c>
      <c r="S7">
        <f>IF(VLOOKUP($A7,'Control Groups'!$A:$D,3,FALSE)="Tier 0 – Universal","Yes",IF(COUNTIFS('Tier Category Mapping'!$A:$A,VLOOKUP($A7,'Control Groups'!$A:$D,3,FALSE),'Tier Category Mapping'!$B:$B,S2,'Tier Category Mapping'!$D:$D,"Yes")&gt;0,"Yes",""))</f>
        <v/>
      </c>
      <c r="T7">
        <f>IF(VLOOKUP($A7,'Control Groups'!$A:$D,3,FALSE)="Tier 0 – Universal","Yes",IF(COUNTIFS('Tier Category Mapping'!$A:$A,VLOOKUP($A7,'Control Groups'!$A:$D,3,FALSE),'Tier Category Mapping'!$B:$B,T2,'Tier Category Mapping'!$D:$D,"Yes")&gt;0,"Yes",""))</f>
        <v/>
      </c>
      <c r="U7">
        <f>IF(VLOOKUP($A7,'Control Groups'!$A:$D,3,FALSE)="Tier 0 – Universal","Yes",IF(COUNTIFS('Tier Category Mapping'!$A:$A,VLOOKUP($A7,'Control Groups'!$A:$D,3,FALSE),'Tier Category Mapping'!$B:$B,U2,'Tier Category Mapping'!$D:$D,"Yes")&gt;0,"Yes",""))</f>
        <v/>
      </c>
      <c r="V7">
        <f>IF(VLOOKUP($A7,'Control Groups'!$A:$D,3,FALSE)="Tier 0 – Universal","Yes",IF(COUNTIFS('Tier Category Mapping'!$A:$A,VLOOKUP($A7,'Control Groups'!$A:$D,3,FALSE),'Tier Category Mapping'!$B:$B,V2,'Tier Category Mapping'!$D:$D,"Yes")&gt;0,"Yes",""))</f>
        <v/>
      </c>
      <c r="W7">
        <f>IF(VLOOKUP($A7,'Control Groups'!$A:$D,3,FALSE)="Tier 0 – Universal","Yes",IF(COUNTIFS('Tier Category Mapping'!$A:$A,VLOOKUP($A7,'Control Groups'!$A:$D,3,FALSE),'Tier Category Mapping'!$B:$B,W2,'Tier Category Mapping'!$D:$D,"Yes")&gt;0,"Yes",""))</f>
        <v/>
      </c>
    </row>
    <row r="8">
      <c r="A8" t="inlineStr">
        <is>
          <t>SH-02</t>
        </is>
      </c>
      <c r="B8" t="inlineStr">
        <is>
          <t>Unnecessary services removed</t>
        </is>
      </c>
      <c r="C8">
        <f>IF(VLOOKUP($A8,'Control Groups'!$A:$D,3,FALSE)="Tier 0 – Universal","Yes",IF(COUNTIFS('Tier Category Mapping'!$A:$A,VLOOKUP($A8,'Control Groups'!$A:$D,3,FALSE),'Tier Category Mapping'!$B:$B,C2,'Tier Category Mapping'!$D:$D,"Yes")&gt;0,"Yes",""))</f>
        <v/>
      </c>
      <c r="D8">
        <f>IF(VLOOKUP($A8,'Control Groups'!$A:$D,3,FALSE)="Tier 0 – Universal","Yes",IF(COUNTIFS('Tier Category Mapping'!$A:$A,VLOOKUP($A8,'Control Groups'!$A:$D,3,FALSE),'Tier Category Mapping'!$B:$B,D2,'Tier Category Mapping'!$D:$D,"Yes")&gt;0,"Yes",""))</f>
        <v/>
      </c>
      <c r="E8">
        <f>IF(VLOOKUP($A8,'Control Groups'!$A:$D,3,FALSE)="Tier 0 – Universal","Yes",IF(COUNTIFS('Tier Category Mapping'!$A:$A,VLOOKUP($A8,'Control Groups'!$A:$D,3,FALSE),'Tier Category Mapping'!$B:$B,E2,'Tier Category Mapping'!$D:$D,"Yes")&gt;0,"Yes",""))</f>
        <v/>
      </c>
      <c r="F8">
        <f>IF(VLOOKUP($A8,'Control Groups'!$A:$D,3,FALSE)="Tier 0 – Universal","Yes",IF(COUNTIFS('Tier Category Mapping'!$A:$A,VLOOKUP($A8,'Control Groups'!$A:$D,3,FALSE),'Tier Category Mapping'!$B:$B,F2,'Tier Category Mapping'!$D:$D,"Yes")&gt;0,"Yes",""))</f>
        <v/>
      </c>
      <c r="G8">
        <f>IF(VLOOKUP($A8,'Control Groups'!$A:$D,3,FALSE)="Tier 0 – Universal","Yes",IF(COUNTIFS('Tier Category Mapping'!$A:$A,VLOOKUP($A8,'Control Groups'!$A:$D,3,FALSE),'Tier Category Mapping'!$B:$B,G2,'Tier Category Mapping'!$D:$D,"Yes")&gt;0,"Yes",""))</f>
        <v/>
      </c>
      <c r="H8">
        <f>IF(VLOOKUP($A8,'Control Groups'!$A:$D,3,FALSE)="Tier 0 – Universal","Yes",IF(COUNTIFS('Tier Category Mapping'!$A:$A,VLOOKUP($A8,'Control Groups'!$A:$D,3,FALSE),'Tier Category Mapping'!$B:$B,H2,'Tier Category Mapping'!$D:$D,"Yes")&gt;0,"Yes",""))</f>
        <v/>
      </c>
      <c r="I8">
        <f>IF(VLOOKUP($A8,'Control Groups'!$A:$D,3,FALSE)="Tier 0 – Universal","Yes",IF(COUNTIFS('Tier Category Mapping'!$A:$A,VLOOKUP($A8,'Control Groups'!$A:$D,3,FALSE),'Tier Category Mapping'!$B:$B,I2,'Tier Category Mapping'!$D:$D,"Yes")&gt;0,"Yes",""))</f>
        <v/>
      </c>
      <c r="J8">
        <f>IF(VLOOKUP($A8,'Control Groups'!$A:$D,3,FALSE)="Tier 0 – Universal","Yes",IF(COUNTIFS('Tier Category Mapping'!$A:$A,VLOOKUP($A8,'Control Groups'!$A:$D,3,FALSE),'Tier Category Mapping'!$B:$B,J2,'Tier Category Mapping'!$D:$D,"Yes")&gt;0,"Yes",""))</f>
        <v/>
      </c>
      <c r="K8">
        <f>IF(VLOOKUP($A8,'Control Groups'!$A:$D,3,FALSE)="Tier 0 – Universal","Yes",IF(COUNTIFS('Tier Category Mapping'!$A:$A,VLOOKUP($A8,'Control Groups'!$A:$D,3,FALSE),'Tier Category Mapping'!$B:$B,K2,'Tier Category Mapping'!$D:$D,"Yes")&gt;0,"Yes",""))</f>
        <v/>
      </c>
      <c r="L8">
        <f>IF(VLOOKUP($A8,'Control Groups'!$A:$D,3,FALSE)="Tier 0 – Universal","Yes",IF(COUNTIFS('Tier Category Mapping'!$A:$A,VLOOKUP($A8,'Control Groups'!$A:$D,3,FALSE),'Tier Category Mapping'!$B:$B,L2,'Tier Category Mapping'!$D:$D,"Yes")&gt;0,"Yes",""))</f>
        <v/>
      </c>
      <c r="M8">
        <f>IF(VLOOKUP($A8,'Control Groups'!$A:$D,3,FALSE)="Tier 0 – Universal","Yes",IF(COUNTIFS('Tier Category Mapping'!$A:$A,VLOOKUP($A8,'Control Groups'!$A:$D,3,FALSE),'Tier Category Mapping'!$B:$B,M2,'Tier Category Mapping'!$D:$D,"Yes")&gt;0,"Yes",""))</f>
        <v/>
      </c>
      <c r="N8">
        <f>IF(VLOOKUP($A8,'Control Groups'!$A:$D,3,FALSE)="Tier 0 – Universal","Yes",IF(COUNTIFS('Tier Category Mapping'!$A:$A,VLOOKUP($A8,'Control Groups'!$A:$D,3,FALSE),'Tier Category Mapping'!$B:$B,N2,'Tier Category Mapping'!$D:$D,"Yes")&gt;0,"Yes",""))</f>
        <v/>
      </c>
      <c r="O8">
        <f>IF(VLOOKUP($A8,'Control Groups'!$A:$D,3,FALSE)="Tier 0 – Universal","Yes",IF(COUNTIFS('Tier Category Mapping'!$A:$A,VLOOKUP($A8,'Control Groups'!$A:$D,3,FALSE),'Tier Category Mapping'!$B:$B,O2,'Tier Category Mapping'!$D:$D,"Yes")&gt;0,"Yes",""))</f>
        <v/>
      </c>
      <c r="P8">
        <f>IF(VLOOKUP($A8,'Control Groups'!$A:$D,3,FALSE)="Tier 0 – Universal","Yes",IF(COUNTIFS('Tier Category Mapping'!$A:$A,VLOOKUP($A8,'Control Groups'!$A:$D,3,FALSE),'Tier Category Mapping'!$B:$B,P2,'Tier Category Mapping'!$D:$D,"Yes")&gt;0,"Yes",""))</f>
        <v/>
      </c>
      <c r="Q8">
        <f>IF(VLOOKUP($A8,'Control Groups'!$A:$D,3,FALSE)="Tier 0 – Universal","Yes",IF(COUNTIFS('Tier Category Mapping'!$A:$A,VLOOKUP($A8,'Control Groups'!$A:$D,3,FALSE),'Tier Category Mapping'!$B:$B,Q2,'Tier Category Mapping'!$D:$D,"Yes")&gt;0,"Yes",""))</f>
        <v/>
      </c>
      <c r="R8">
        <f>IF(VLOOKUP($A8,'Control Groups'!$A:$D,3,FALSE)="Tier 0 – Universal","Yes",IF(COUNTIFS('Tier Category Mapping'!$A:$A,VLOOKUP($A8,'Control Groups'!$A:$D,3,FALSE),'Tier Category Mapping'!$B:$B,R2,'Tier Category Mapping'!$D:$D,"Yes")&gt;0,"Yes",""))</f>
        <v/>
      </c>
      <c r="S8">
        <f>IF(VLOOKUP($A8,'Control Groups'!$A:$D,3,FALSE)="Tier 0 – Universal","Yes",IF(COUNTIFS('Tier Category Mapping'!$A:$A,VLOOKUP($A8,'Control Groups'!$A:$D,3,FALSE),'Tier Category Mapping'!$B:$B,S2,'Tier Category Mapping'!$D:$D,"Yes")&gt;0,"Yes",""))</f>
        <v/>
      </c>
      <c r="T8">
        <f>IF(VLOOKUP($A8,'Control Groups'!$A:$D,3,FALSE)="Tier 0 – Universal","Yes",IF(COUNTIFS('Tier Category Mapping'!$A:$A,VLOOKUP($A8,'Control Groups'!$A:$D,3,FALSE),'Tier Category Mapping'!$B:$B,T2,'Tier Category Mapping'!$D:$D,"Yes")&gt;0,"Yes",""))</f>
        <v/>
      </c>
      <c r="U8">
        <f>IF(VLOOKUP($A8,'Control Groups'!$A:$D,3,FALSE)="Tier 0 – Universal","Yes",IF(COUNTIFS('Tier Category Mapping'!$A:$A,VLOOKUP($A8,'Control Groups'!$A:$D,3,FALSE),'Tier Category Mapping'!$B:$B,U2,'Tier Category Mapping'!$D:$D,"Yes")&gt;0,"Yes",""))</f>
        <v/>
      </c>
      <c r="V8">
        <f>IF(VLOOKUP($A8,'Control Groups'!$A:$D,3,FALSE)="Tier 0 – Universal","Yes",IF(COUNTIFS('Tier Category Mapping'!$A:$A,VLOOKUP($A8,'Control Groups'!$A:$D,3,FALSE),'Tier Category Mapping'!$B:$B,V2,'Tier Category Mapping'!$D:$D,"Yes")&gt;0,"Yes",""))</f>
        <v/>
      </c>
      <c r="W8">
        <f>IF(VLOOKUP($A8,'Control Groups'!$A:$D,3,FALSE)="Tier 0 – Universal","Yes",IF(COUNTIFS('Tier Category Mapping'!$A:$A,VLOOKUP($A8,'Control Groups'!$A:$D,3,FALSE),'Tier Category Mapping'!$B:$B,W2,'Tier Category Mapping'!$D:$D,"Yes")&gt;0,"Yes",""))</f>
        <v/>
      </c>
    </row>
    <row r="9">
      <c r="A9" t="inlineStr">
        <is>
          <t>SH-03</t>
        </is>
      </c>
      <c r="B9" t="inlineStr">
        <is>
          <t>Disk encryption enabled</t>
        </is>
      </c>
      <c r="C9">
        <f>IF(VLOOKUP($A9,'Control Groups'!$A:$D,3,FALSE)="Tier 0 – Universal","Yes",IF(COUNTIFS('Tier Category Mapping'!$A:$A,VLOOKUP($A9,'Control Groups'!$A:$D,3,FALSE),'Tier Category Mapping'!$B:$B,C2,'Tier Category Mapping'!$D:$D,"Yes")&gt;0,"Yes",""))</f>
        <v/>
      </c>
      <c r="D9">
        <f>IF(VLOOKUP($A9,'Control Groups'!$A:$D,3,FALSE)="Tier 0 – Universal","Yes",IF(COUNTIFS('Tier Category Mapping'!$A:$A,VLOOKUP($A9,'Control Groups'!$A:$D,3,FALSE),'Tier Category Mapping'!$B:$B,D2,'Tier Category Mapping'!$D:$D,"Yes")&gt;0,"Yes",""))</f>
        <v/>
      </c>
      <c r="E9">
        <f>IF(VLOOKUP($A9,'Control Groups'!$A:$D,3,FALSE)="Tier 0 – Universal","Yes",IF(COUNTIFS('Tier Category Mapping'!$A:$A,VLOOKUP($A9,'Control Groups'!$A:$D,3,FALSE),'Tier Category Mapping'!$B:$B,E2,'Tier Category Mapping'!$D:$D,"Yes")&gt;0,"Yes",""))</f>
        <v/>
      </c>
      <c r="F9">
        <f>IF(VLOOKUP($A9,'Control Groups'!$A:$D,3,FALSE)="Tier 0 – Universal","Yes",IF(COUNTIFS('Tier Category Mapping'!$A:$A,VLOOKUP($A9,'Control Groups'!$A:$D,3,FALSE),'Tier Category Mapping'!$B:$B,F2,'Tier Category Mapping'!$D:$D,"Yes")&gt;0,"Yes",""))</f>
        <v/>
      </c>
      <c r="G9">
        <f>IF(VLOOKUP($A9,'Control Groups'!$A:$D,3,FALSE)="Tier 0 – Universal","Yes",IF(COUNTIFS('Tier Category Mapping'!$A:$A,VLOOKUP($A9,'Control Groups'!$A:$D,3,FALSE),'Tier Category Mapping'!$B:$B,G2,'Tier Category Mapping'!$D:$D,"Yes")&gt;0,"Yes",""))</f>
        <v/>
      </c>
      <c r="H9">
        <f>IF(VLOOKUP($A9,'Control Groups'!$A:$D,3,FALSE)="Tier 0 – Universal","Yes",IF(COUNTIFS('Tier Category Mapping'!$A:$A,VLOOKUP($A9,'Control Groups'!$A:$D,3,FALSE),'Tier Category Mapping'!$B:$B,H2,'Tier Category Mapping'!$D:$D,"Yes")&gt;0,"Yes",""))</f>
        <v/>
      </c>
      <c r="I9">
        <f>IF(VLOOKUP($A9,'Control Groups'!$A:$D,3,FALSE)="Tier 0 – Universal","Yes",IF(COUNTIFS('Tier Category Mapping'!$A:$A,VLOOKUP($A9,'Control Groups'!$A:$D,3,FALSE),'Tier Category Mapping'!$B:$B,I2,'Tier Category Mapping'!$D:$D,"Yes")&gt;0,"Yes",""))</f>
        <v/>
      </c>
      <c r="J9">
        <f>IF(VLOOKUP($A9,'Control Groups'!$A:$D,3,FALSE)="Tier 0 – Universal","Yes",IF(COUNTIFS('Tier Category Mapping'!$A:$A,VLOOKUP($A9,'Control Groups'!$A:$D,3,FALSE),'Tier Category Mapping'!$B:$B,J2,'Tier Category Mapping'!$D:$D,"Yes")&gt;0,"Yes",""))</f>
        <v/>
      </c>
      <c r="K9">
        <f>IF(VLOOKUP($A9,'Control Groups'!$A:$D,3,FALSE)="Tier 0 – Universal","Yes",IF(COUNTIFS('Tier Category Mapping'!$A:$A,VLOOKUP($A9,'Control Groups'!$A:$D,3,FALSE),'Tier Category Mapping'!$B:$B,K2,'Tier Category Mapping'!$D:$D,"Yes")&gt;0,"Yes",""))</f>
        <v/>
      </c>
      <c r="L9">
        <f>IF(VLOOKUP($A9,'Control Groups'!$A:$D,3,FALSE)="Tier 0 – Universal","Yes",IF(COUNTIFS('Tier Category Mapping'!$A:$A,VLOOKUP($A9,'Control Groups'!$A:$D,3,FALSE),'Tier Category Mapping'!$B:$B,L2,'Tier Category Mapping'!$D:$D,"Yes")&gt;0,"Yes",""))</f>
        <v/>
      </c>
      <c r="M9">
        <f>IF(VLOOKUP($A9,'Control Groups'!$A:$D,3,FALSE)="Tier 0 – Universal","Yes",IF(COUNTIFS('Tier Category Mapping'!$A:$A,VLOOKUP($A9,'Control Groups'!$A:$D,3,FALSE),'Tier Category Mapping'!$B:$B,M2,'Tier Category Mapping'!$D:$D,"Yes")&gt;0,"Yes",""))</f>
        <v/>
      </c>
      <c r="N9">
        <f>IF(VLOOKUP($A9,'Control Groups'!$A:$D,3,FALSE)="Tier 0 – Universal","Yes",IF(COUNTIFS('Tier Category Mapping'!$A:$A,VLOOKUP($A9,'Control Groups'!$A:$D,3,FALSE),'Tier Category Mapping'!$B:$B,N2,'Tier Category Mapping'!$D:$D,"Yes")&gt;0,"Yes",""))</f>
        <v/>
      </c>
      <c r="O9">
        <f>IF(VLOOKUP($A9,'Control Groups'!$A:$D,3,FALSE)="Tier 0 – Universal","Yes",IF(COUNTIFS('Tier Category Mapping'!$A:$A,VLOOKUP($A9,'Control Groups'!$A:$D,3,FALSE),'Tier Category Mapping'!$B:$B,O2,'Tier Category Mapping'!$D:$D,"Yes")&gt;0,"Yes",""))</f>
        <v/>
      </c>
      <c r="P9">
        <f>IF(VLOOKUP($A9,'Control Groups'!$A:$D,3,FALSE)="Tier 0 – Universal","Yes",IF(COUNTIFS('Tier Category Mapping'!$A:$A,VLOOKUP($A9,'Control Groups'!$A:$D,3,FALSE),'Tier Category Mapping'!$B:$B,P2,'Tier Category Mapping'!$D:$D,"Yes")&gt;0,"Yes",""))</f>
        <v/>
      </c>
      <c r="Q9">
        <f>IF(VLOOKUP($A9,'Control Groups'!$A:$D,3,FALSE)="Tier 0 – Universal","Yes",IF(COUNTIFS('Tier Category Mapping'!$A:$A,VLOOKUP($A9,'Control Groups'!$A:$D,3,FALSE),'Tier Category Mapping'!$B:$B,Q2,'Tier Category Mapping'!$D:$D,"Yes")&gt;0,"Yes",""))</f>
        <v/>
      </c>
      <c r="R9">
        <f>IF(VLOOKUP($A9,'Control Groups'!$A:$D,3,FALSE)="Tier 0 – Universal","Yes",IF(COUNTIFS('Tier Category Mapping'!$A:$A,VLOOKUP($A9,'Control Groups'!$A:$D,3,FALSE),'Tier Category Mapping'!$B:$B,R2,'Tier Category Mapping'!$D:$D,"Yes")&gt;0,"Yes",""))</f>
        <v/>
      </c>
      <c r="S9">
        <f>IF(VLOOKUP($A9,'Control Groups'!$A:$D,3,FALSE)="Tier 0 – Universal","Yes",IF(COUNTIFS('Tier Category Mapping'!$A:$A,VLOOKUP($A9,'Control Groups'!$A:$D,3,FALSE),'Tier Category Mapping'!$B:$B,S2,'Tier Category Mapping'!$D:$D,"Yes")&gt;0,"Yes",""))</f>
        <v/>
      </c>
      <c r="T9">
        <f>IF(VLOOKUP($A9,'Control Groups'!$A:$D,3,FALSE)="Tier 0 – Universal","Yes",IF(COUNTIFS('Tier Category Mapping'!$A:$A,VLOOKUP($A9,'Control Groups'!$A:$D,3,FALSE),'Tier Category Mapping'!$B:$B,T2,'Tier Category Mapping'!$D:$D,"Yes")&gt;0,"Yes",""))</f>
        <v/>
      </c>
      <c r="U9">
        <f>IF(VLOOKUP($A9,'Control Groups'!$A:$D,3,FALSE)="Tier 0 – Universal","Yes",IF(COUNTIFS('Tier Category Mapping'!$A:$A,VLOOKUP($A9,'Control Groups'!$A:$D,3,FALSE),'Tier Category Mapping'!$B:$B,U2,'Tier Category Mapping'!$D:$D,"Yes")&gt;0,"Yes",""))</f>
        <v/>
      </c>
      <c r="V9">
        <f>IF(VLOOKUP($A9,'Control Groups'!$A:$D,3,FALSE)="Tier 0 – Universal","Yes",IF(COUNTIFS('Tier Category Mapping'!$A:$A,VLOOKUP($A9,'Control Groups'!$A:$D,3,FALSE),'Tier Category Mapping'!$B:$B,V2,'Tier Category Mapping'!$D:$D,"Yes")&gt;0,"Yes",""))</f>
        <v/>
      </c>
      <c r="W9">
        <f>IF(VLOOKUP($A9,'Control Groups'!$A:$D,3,FALSE)="Tier 0 – Universal","Yes",IF(COUNTIFS('Tier Category Mapping'!$A:$A,VLOOKUP($A9,'Control Groups'!$A:$D,3,FALSE),'Tier Category Mapping'!$B:$B,W2,'Tier Category Mapping'!$D:$D,"Yes")&gt;0,"Yes",""))</f>
        <v/>
      </c>
    </row>
    <row r="10">
      <c r="A10" t="inlineStr">
        <is>
          <t>NS-01</t>
        </is>
      </c>
      <c r="B10" t="inlineStr">
        <is>
          <t>Host firewall enabled</t>
        </is>
      </c>
      <c r="C10">
        <f>IF(VLOOKUP($A10,'Control Groups'!$A:$D,3,FALSE)="Tier 0 – Universal","Yes",IF(COUNTIFS('Tier Category Mapping'!$A:$A,VLOOKUP($A10,'Control Groups'!$A:$D,3,FALSE),'Tier Category Mapping'!$B:$B,C2,'Tier Category Mapping'!$D:$D,"Yes")&gt;0,"Yes",""))</f>
        <v/>
      </c>
      <c r="D10">
        <f>IF(VLOOKUP($A10,'Control Groups'!$A:$D,3,FALSE)="Tier 0 – Universal","Yes",IF(COUNTIFS('Tier Category Mapping'!$A:$A,VLOOKUP($A10,'Control Groups'!$A:$D,3,FALSE),'Tier Category Mapping'!$B:$B,D2,'Tier Category Mapping'!$D:$D,"Yes")&gt;0,"Yes",""))</f>
        <v/>
      </c>
      <c r="E10">
        <f>IF(VLOOKUP($A10,'Control Groups'!$A:$D,3,FALSE)="Tier 0 – Universal","Yes",IF(COUNTIFS('Tier Category Mapping'!$A:$A,VLOOKUP($A10,'Control Groups'!$A:$D,3,FALSE),'Tier Category Mapping'!$B:$B,E2,'Tier Category Mapping'!$D:$D,"Yes")&gt;0,"Yes",""))</f>
        <v/>
      </c>
      <c r="F10">
        <f>IF(VLOOKUP($A10,'Control Groups'!$A:$D,3,FALSE)="Tier 0 – Universal","Yes",IF(COUNTIFS('Tier Category Mapping'!$A:$A,VLOOKUP($A10,'Control Groups'!$A:$D,3,FALSE),'Tier Category Mapping'!$B:$B,F2,'Tier Category Mapping'!$D:$D,"Yes")&gt;0,"Yes",""))</f>
        <v/>
      </c>
      <c r="G10">
        <f>IF(VLOOKUP($A10,'Control Groups'!$A:$D,3,FALSE)="Tier 0 – Universal","Yes",IF(COUNTIFS('Tier Category Mapping'!$A:$A,VLOOKUP($A10,'Control Groups'!$A:$D,3,FALSE),'Tier Category Mapping'!$B:$B,G2,'Tier Category Mapping'!$D:$D,"Yes")&gt;0,"Yes",""))</f>
        <v/>
      </c>
      <c r="H10">
        <f>IF(VLOOKUP($A10,'Control Groups'!$A:$D,3,FALSE)="Tier 0 – Universal","Yes",IF(COUNTIFS('Tier Category Mapping'!$A:$A,VLOOKUP($A10,'Control Groups'!$A:$D,3,FALSE),'Tier Category Mapping'!$B:$B,H2,'Tier Category Mapping'!$D:$D,"Yes")&gt;0,"Yes",""))</f>
        <v/>
      </c>
      <c r="I10">
        <f>IF(VLOOKUP($A10,'Control Groups'!$A:$D,3,FALSE)="Tier 0 – Universal","Yes",IF(COUNTIFS('Tier Category Mapping'!$A:$A,VLOOKUP($A10,'Control Groups'!$A:$D,3,FALSE),'Tier Category Mapping'!$B:$B,I2,'Tier Category Mapping'!$D:$D,"Yes")&gt;0,"Yes",""))</f>
        <v/>
      </c>
      <c r="J10">
        <f>IF(VLOOKUP($A10,'Control Groups'!$A:$D,3,FALSE)="Tier 0 – Universal","Yes",IF(COUNTIFS('Tier Category Mapping'!$A:$A,VLOOKUP($A10,'Control Groups'!$A:$D,3,FALSE),'Tier Category Mapping'!$B:$B,J2,'Tier Category Mapping'!$D:$D,"Yes")&gt;0,"Yes",""))</f>
        <v/>
      </c>
      <c r="K10">
        <f>IF(VLOOKUP($A10,'Control Groups'!$A:$D,3,FALSE)="Tier 0 – Universal","Yes",IF(COUNTIFS('Tier Category Mapping'!$A:$A,VLOOKUP($A10,'Control Groups'!$A:$D,3,FALSE),'Tier Category Mapping'!$B:$B,K2,'Tier Category Mapping'!$D:$D,"Yes")&gt;0,"Yes",""))</f>
        <v/>
      </c>
      <c r="L10">
        <f>IF(VLOOKUP($A10,'Control Groups'!$A:$D,3,FALSE)="Tier 0 – Universal","Yes",IF(COUNTIFS('Tier Category Mapping'!$A:$A,VLOOKUP($A10,'Control Groups'!$A:$D,3,FALSE),'Tier Category Mapping'!$B:$B,L2,'Tier Category Mapping'!$D:$D,"Yes")&gt;0,"Yes",""))</f>
        <v/>
      </c>
      <c r="M10">
        <f>IF(VLOOKUP($A10,'Control Groups'!$A:$D,3,FALSE)="Tier 0 – Universal","Yes",IF(COUNTIFS('Tier Category Mapping'!$A:$A,VLOOKUP($A10,'Control Groups'!$A:$D,3,FALSE),'Tier Category Mapping'!$B:$B,M2,'Tier Category Mapping'!$D:$D,"Yes")&gt;0,"Yes",""))</f>
        <v/>
      </c>
      <c r="N10">
        <f>IF(VLOOKUP($A10,'Control Groups'!$A:$D,3,FALSE)="Tier 0 – Universal","Yes",IF(COUNTIFS('Tier Category Mapping'!$A:$A,VLOOKUP($A10,'Control Groups'!$A:$D,3,FALSE),'Tier Category Mapping'!$B:$B,N2,'Tier Category Mapping'!$D:$D,"Yes")&gt;0,"Yes",""))</f>
        <v/>
      </c>
      <c r="O10">
        <f>IF(VLOOKUP($A10,'Control Groups'!$A:$D,3,FALSE)="Tier 0 – Universal","Yes",IF(COUNTIFS('Tier Category Mapping'!$A:$A,VLOOKUP($A10,'Control Groups'!$A:$D,3,FALSE),'Tier Category Mapping'!$B:$B,O2,'Tier Category Mapping'!$D:$D,"Yes")&gt;0,"Yes",""))</f>
        <v/>
      </c>
      <c r="P10">
        <f>IF(VLOOKUP($A10,'Control Groups'!$A:$D,3,FALSE)="Tier 0 – Universal","Yes",IF(COUNTIFS('Tier Category Mapping'!$A:$A,VLOOKUP($A10,'Control Groups'!$A:$D,3,FALSE),'Tier Category Mapping'!$B:$B,P2,'Tier Category Mapping'!$D:$D,"Yes")&gt;0,"Yes",""))</f>
        <v/>
      </c>
      <c r="Q10">
        <f>IF(VLOOKUP($A10,'Control Groups'!$A:$D,3,FALSE)="Tier 0 – Universal","Yes",IF(COUNTIFS('Tier Category Mapping'!$A:$A,VLOOKUP($A10,'Control Groups'!$A:$D,3,FALSE),'Tier Category Mapping'!$B:$B,Q2,'Tier Category Mapping'!$D:$D,"Yes")&gt;0,"Yes",""))</f>
        <v/>
      </c>
      <c r="R10">
        <f>IF(VLOOKUP($A10,'Control Groups'!$A:$D,3,FALSE)="Tier 0 – Universal","Yes",IF(COUNTIFS('Tier Category Mapping'!$A:$A,VLOOKUP($A10,'Control Groups'!$A:$D,3,FALSE),'Tier Category Mapping'!$B:$B,R2,'Tier Category Mapping'!$D:$D,"Yes")&gt;0,"Yes",""))</f>
        <v/>
      </c>
      <c r="S10">
        <f>IF(VLOOKUP($A10,'Control Groups'!$A:$D,3,FALSE)="Tier 0 – Universal","Yes",IF(COUNTIFS('Tier Category Mapping'!$A:$A,VLOOKUP($A10,'Control Groups'!$A:$D,3,FALSE),'Tier Category Mapping'!$B:$B,S2,'Tier Category Mapping'!$D:$D,"Yes")&gt;0,"Yes",""))</f>
        <v/>
      </c>
      <c r="T10">
        <f>IF(VLOOKUP($A10,'Control Groups'!$A:$D,3,FALSE)="Tier 0 – Universal","Yes",IF(COUNTIFS('Tier Category Mapping'!$A:$A,VLOOKUP($A10,'Control Groups'!$A:$D,3,FALSE),'Tier Category Mapping'!$B:$B,T2,'Tier Category Mapping'!$D:$D,"Yes")&gt;0,"Yes",""))</f>
        <v/>
      </c>
      <c r="U10">
        <f>IF(VLOOKUP($A10,'Control Groups'!$A:$D,3,FALSE)="Tier 0 – Universal","Yes",IF(COUNTIFS('Tier Category Mapping'!$A:$A,VLOOKUP($A10,'Control Groups'!$A:$D,3,FALSE),'Tier Category Mapping'!$B:$B,U2,'Tier Category Mapping'!$D:$D,"Yes")&gt;0,"Yes",""))</f>
        <v/>
      </c>
      <c r="V10">
        <f>IF(VLOOKUP($A10,'Control Groups'!$A:$D,3,FALSE)="Tier 0 – Universal","Yes",IF(COUNTIFS('Tier Category Mapping'!$A:$A,VLOOKUP($A10,'Control Groups'!$A:$D,3,FALSE),'Tier Category Mapping'!$B:$B,V2,'Tier Category Mapping'!$D:$D,"Yes")&gt;0,"Yes",""))</f>
        <v/>
      </c>
      <c r="W10">
        <f>IF(VLOOKUP($A10,'Control Groups'!$A:$D,3,FALSE)="Tier 0 – Universal","Yes",IF(COUNTIFS('Tier Category Mapping'!$A:$A,VLOOKUP($A10,'Control Groups'!$A:$D,3,FALSE),'Tier Category Mapping'!$B:$B,W2,'Tier Category Mapping'!$D:$D,"Yes")&gt;0,"Yes",""))</f>
        <v/>
      </c>
    </row>
    <row r="11">
      <c r="A11" t="inlineStr">
        <is>
          <t>NS-02</t>
        </is>
      </c>
      <c r="B11" t="inlineStr">
        <is>
          <t>Inbound traffic restricted</t>
        </is>
      </c>
      <c r="C11">
        <f>IF(VLOOKUP($A11,'Control Groups'!$A:$D,3,FALSE)="Tier 0 – Universal","Yes",IF(COUNTIFS('Tier Category Mapping'!$A:$A,VLOOKUP($A11,'Control Groups'!$A:$D,3,FALSE),'Tier Category Mapping'!$B:$B,C2,'Tier Category Mapping'!$D:$D,"Yes")&gt;0,"Yes",""))</f>
        <v/>
      </c>
      <c r="D11">
        <f>IF(VLOOKUP($A11,'Control Groups'!$A:$D,3,FALSE)="Tier 0 – Universal","Yes",IF(COUNTIFS('Tier Category Mapping'!$A:$A,VLOOKUP($A11,'Control Groups'!$A:$D,3,FALSE),'Tier Category Mapping'!$B:$B,D2,'Tier Category Mapping'!$D:$D,"Yes")&gt;0,"Yes",""))</f>
        <v/>
      </c>
      <c r="E11">
        <f>IF(VLOOKUP($A11,'Control Groups'!$A:$D,3,FALSE)="Tier 0 – Universal","Yes",IF(COUNTIFS('Tier Category Mapping'!$A:$A,VLOOKUP($A11,'Control Groups'!$A:$D,3,FALSE),'Tier Category Mapping'!$B:$B,E2,'Tier Category Mapping'!$D:$D,"Yes")&gt;0,"Yes",""))</f>
        <v/>
      </c>
      <c r="F11">
        <f>IF(VLOOKUP($A11,'Control Groups'!$A:$D,3,FALSE)="Tier 0 – Universal","Yes",IF(COUNTIFS('Tier Category Mapping'!$A:$A,VLOOKUP($A11,'Control Groups'!$A:$D,3,FALSE),'Tier Category Mapping'!$B:$B,F2,'Tier Category Mapping'!$D:$D,"Yes")&gt;0,"Yes",""))</f>
        <v/>
      </c>
      <c r="G11">
        <f>IF(VLOOKUP($A11,'Control Groups'!$A:$D,3,FALSE)="Tier 0 – Universal","Yes",IF(COUNTIFS('Tier Category Mapping'!$A:$A,VLOOKUP($A11,'Control Groups'!$A:$D,3,FALSE),'Tier Category Mapping'!$B:$B,G2,'Tier Category Mapping'!$D:$D,"Yes")&gt;0,"Yes",""))</f>
        <v/>
      </c>
      <c r="H11">
        <f>IF(VLOOKUP($A11,'Control Groups'!$A:$D,3,FALSE)="Tier 0 – Universal","Yes",IF(COUNTIFS('Tier Category Mapping'!$A:$A,VLOOKUP($A11,'Control Groups'!$A:$D,3,FALSE),'Tier Category Mapping'!$B:$B,H2,'Tier Category Mapping'!$D:$D,"Yes")&gt;0,"Yes",""))</f>
        <v/>
      </c>
      <c r="I11">
        <f>IF(VLOOKUP($A11,'Control Groups'!$A:$D,3,FALSE)="Tier 0 – Universal","Yes",IF(COUNTIFS('Tier Category Mapping'!$A:$A,VLOOKUP($A11,'Control Groups'!$A:$D,3,FALSE),'Tier Category Mapping'!$B:$B,I2,'Tier Category Mapping'!$D:$D,"Yes")&gt;0,"Yes",""))</f>
        <v/>
      </c>
      <c r="J11">
        <f>IF(VLOOKUP($A11,'Control Groups'!$A:$D,3,FALSE)="Tier 0 – Universal","Yes",IF(COUNTIFS('Tier Category Mapping'!$A:$A,VLOOKUP($A11,'Control Groups'!$A:$D,3,FALSE),'Tier Category Mapping'!$B:$B,J2,'Tier Category Mapping'!$D:$D,"Yes")&gt;0,"Yes",""))</f>
        <v/>
      </c>
      <c r="K11">
        <f>IF(VLOOKUP($A11,'Control Groups'!$A:$D,3,FALSE)="Tier 0 – Universal","Yes",IF(COUNTIFS('Tier Category Mapping'!$A:$A,VLOOKUP($A11,'Control Groups'!$A:$D,3,FALSE),'Tier Category Mapping'!$B:$B,K2,'Tier Category Mapping'!$D:$D,"Yes")&gt;0,"Yes",""))</f>
        <v/>
      </c>
      <c r="L11">
        <f>IF(VLOOKUP($A11,'Control Groups'!$A:$D,3,FALSE)="Tier 0 – Universal","Yes",IF(COUNTIFS('Tier Category Mapping'!$A:$A,VLOOKUP($A11,'Control Groups'!$A:$D,3,FALSE),'Tier Category Mapping'!$B:$B,L2,'Tier Category Mapping'!$D:$D,"Yes")&gt;0,"Yes",""))</f>
        <v/>
      </c>
      <c r="M11">
        <f>IF(VLOOKUP($A11,'Control Groups'!$A:$D,3,FALSE)="Tier 0 – Universal","Yes",IF(COUNTIFS('Tier Category Mapping'!$A:$A,VLOOKUP($A11,'Control Groups'!$A:$D,3,FALSE),'Tier Category Mapping'!$B:$B,M2,'Tier Category Mapping'!$D:$D,"Yes")&gt;0,"Yes",""))</f>
        <v/>
      </c>
      <c r="N11">
        <f>IF(VLOOKUP($A11,'Control Groups'!$A:$D,3,FALSE)="Tier 0 – Universal","Yes",IF(COUNTIFS('Tier Category Mapping'!$A:$A,VLOOKUP($A11,'Control Groups'!$A:$D,3,FALSE),'Tier Category Mapping'!$B:$B,N2,'Tier Category Mapping'!$D:$D,"Yes")&gt;0,"Yes",""))</f>
        <v/>
      </c>
      <c r="O11">
        <f>IF(VLOOKUP($A11,'Control Groups'!$A:$D,3,FALSE)="Tier 0 – Universal","Yes",IF(COUNTIFS('Tier Category Mapping'!$A:$A,VLOOKUP($A11,'Control Groups'!$A:$D,3,FALSE),'Tier Category Mapping'!$B:$B,O2,'Tier Category Mapping'!$D:$D,"Yes")&gt;0,"Yes",""))</f>
        <v/>
      </c>
      <c r="P11">
        <f>IF(VLOOKUP($A11,'Control Groups'!$A:$D,3,FALSE)="Tier 0 – Universal","Yes",IF(COUNTIFS('Tier Category Mapping'!$A:$A,VLOOKUP($A11,'Control Groups'!$A:$D,3,FALSE),'Tier Category Mapping'!$B:$B,P2,'Tier Category Mapping'!$D:$D,"Yes")&gt;0,"Yes",""))</f>
        <v/>
      </c>
      <c r="Q11">
        <f>IF(VLOOKUP($A11,'Control Groups'!$A:$D,3,FALSE)="Tier 0 – Universal","Yes",IF(COUNTIFS('Tier Category Mapping'!$A:$A,VLOOKUP($A11,'Control Groups'!$A:$D,3,FALSE),'Tier Category Mapping'!$B:$B,Q2,'Tier Category Mapping'!$D:$D,"Yes")&gt;0,"Yes",""))</f>
        <v/>
      </c>
      <c r="R11">
        <f>IF(VLOOKUP($A11,'Control Groups'!$A:$D,3,FALSE)="Tier 0 – Universal","Yes",IF(COUNTIFS('Tier Category Mapping'!$A:$A,VLOOKUP($A11,'Control Groups'!$A:$D,3,FALSE),'Tier Category Mapping'!$B:$B,R2,'Tier Category Mapping'!$D:$D,"Yes")&gt;0,"Yes",""))</f>
        <v/>
      </c>
      <c r="S11">
        <f>IF(VLOOKUP($A11,'Control Groups'!$A:$D,3,FALSE)="Tier 0 – Universal","Yes",IF(COUNTIFS('Tier Category Mapping'!$A:$A,VLOOKUP($A11,'Control Groups'!$A:$D,3,FALSE),'Tier Category Mapping'!$B:$B,S2,'Tier Category Mapping'!$D:$D,"Yes")&gt;0,"Yes",""))</f>
        <v/>
      </c>
      <c r="T11">
        <f>IF(VLOOKUP($A11,'Control Groups'!$A:$D,3,FALSE)="Tier 0 – Universal","Yes",IF(COUNTIFS('Tier Category Mapping'!$A:$A,VLOOKUP($A11,'Control Groups'!$A:$D,3,FALSE),'Tier Category Mapping'!$B:$B,T2,'Tier Category Mapping'!$D:$D,"Yes")&gt;0,"Yes",""))</f>
        <v/>
      </c>
      <c r="U11">
        <f>IF(VLOOKUP($A11,'Control Groups'!$A:$D,3,FALSE)="Tier 0 – Universal","Yes",IF(COUNTIFS('Tier Category Mapping'!$A:$A,VLOOKUP($A11,'Control Groups'!$A:$D,3,FALSE),'Tier Category Mapping'!$B:$B,U2,'Tier Category Mapping'!$D:$D,"Yes")&gt;0,"Yes",""))</f>
        <v/>
      </c>
      <c r="V11">
        <f>IF(VLOOKUP($A11,'Control Groups'!$A:$D,3,FALSE)="Tier 0 – Universal","Yes",IF(COUNTIFS('Tier Category Mapping'!$A:$A,VLOOKUP($A11,'Control Groups'!$A:$D,3,FALSE),'Tier Category Mapping'!$B:$B,V2,'Tier Category Mapping'!$D:$D,"Yes")&gt;0,"Yes",""))</f>
        <v/>
      </c>
      <c r="W11">
        <f>IF(VLOOKUP($A11,'Control Groups'!$A:$D,3,FALSE)="Tier 0 – Universal","Yes",IF(COUNTIFS('Tier Category Mapping'!$A:$A,VLOOKUP($A11,'Control Groups'!$A:$D,3,FALSE),'Tier Category Mapping'!$B:$B,W2,'Tier Category Mapping'!$D:$D,"Yes")&gt;0,"Yes",""))</f>
        <v/>
      </c>
    </row>
    <row r="12">
      <c r="A12" t="inlineStr">
        <is>
          <t>NS-03</t>
        </is>
      </c>
      <c r="B12" t="inlineStr">
        <is>
          <t>Management access restricted</t>
        </is>
      </c>
      <c r="C12">
        <f>IF(VLOOKUP($A12,'Control Groups'!$A:$D,3,FALSE)="Tier 0 – Universal","Yes",IF(COUNTIFS('Tier Category Mapping'!$A:$A,VLOOKUP($A12,'Control Groups'!$A:$D,3,FALSE),'Tier Category Mapping'!$B:$B,C2,'Tier Category Mapping'!$D:$D,"Yes")&gt;0,"Yes",""))</f>
        <v/>
      </c>
      <c r="D12">
        <f>IF(VLOOKUP($A12,'Control Groups'!$A:$D,3,FALSE)="Tier 0 – Universal","Yes",IF(COUNTIFS('Tier Category Mapping'!$A:$A,VLOOKUP($A12,'Control Groups'!$A:$D,3,FALSE),'Tier Category Mapping'!$B:$B,D2,'Tier Category Mapping'!$D:$D,"Yes")&gt;0,"Yes",""))</f>
        <v/>
      </c>
      <c r="E12">
        <f>IF(VLOOKUP($A12,'Control Groups'!$A:$D,3,FALSE)="Tier 0 – Universal","Yes",IF(COUNTIFS('Tier Category Mapping'!$A:$A,VLOOKUP($A12,'Control Groups'!$A:$D,3,FALSE),'Tier Category Mapping'!$B:$B,E2,'Tier Category Mapping'!$D:$D,"Yes")&gt;0,"Yes",""))</f>
        <v/>
      </c>
      <c r="F12">
        <f>IF(VLOOKUP($A12,'Control Groups'!$A:$D,3,FALSE)="Tier 0 – Universal","Yes",IF(COUNTIFS('Tier Category Mapping'!$A:$A,VLOOKUP($A12,'Control Groups'!$A:$D,3,FALSE),'Tier Category Mapping'!$B:$B,F2,'Tier Category Mapping'!$D:$D,"Yes")&gt;0,"Yes",""))</f>
        <v/>
      </c>
      <c r="G12">
        <f>IF(VLOOKUP($A12,'Control Groups'!$A:$D,3,FALSE)="Tier 0 – Universal","Yes",IF(COUNTIFS('Tier Category Mapping'!$A:$A,VLOOKUP($A12,'Control Groups'!$A:$D,3,FALSE),'Tier Category Mapping'!$B:$B,G2,'Tier Category Mapping'!$D:$D,"Yes")&gt;0,"Yes",""))</f>
        <v/>
      </c>
      <c r="H12">
        <f>IF(VLOOKUP($A12,'Control Groups'!$A:$D,3,FALSE)="Tier 0 – Universal","Yes",IF(COUNTIFS('Tier Category Mapping'!$A:$A,VLOOKUP($A12,'Control Groups'!$A:$D,3,FALSE),'Tier Category Mapping'!$B:$B,H2,'Tier Category Mapping'!$D:$D,"Yes")&gt;0,"Yes",""))</f>
        <v/>
      </c>
      <c r="I12">
        <f>IF(VLOOKUP($A12,'Control Groups'!$A:$D,3,FALSE)="Tier 0 – Universal","Yes",IF(COUNTIFS('Tier Category Mapping'!$A:$A,VLOOKUP($A12,'Control Groups'!$A:$D,3,FALSE),'Tier Category Mapping'!$B:$B,I2,'Tier Category Mapping'!$D:$D,"Yes")&gt;0,"Yes",""))</f>
        <v/>
      </c>
      <c r="J12">
        <f>IF(VLOOKUP($A12,'Control Groups'!$A:$D,3,FALSE)="Tier 0 – Universal","Yes",IF(COUNTIFS('Tier Category Mapping'!$A:$A,VLOOKUP($A12,'Control Groups'!$A:$D,3,FALSE),'Tier Category Mapping'!$B:$B,J2,'Tier Category Mapping'!$D:$D,"Yes")&gt;0,"Yes",""))</f>
        <v/>
      </c>
      <c r="K12">
        <f>IF(VLOOKUP($A12,'Control Groups'!$A:$D,3,FALSE)="Tier 0 – Universal","Yes",IF(COUNTIFS('Tier Category Mapping'!$A:$A,VLOOKUP($A12,'Control Groups'!$A:$D,3,FALSE),'Tier Category Mapping'!$B:$B,K2,'Tier Category Mapping'!$D:$D,"Yes")&gt;0,"Yes",""))</f>
        <v/>
      </c>
      <c r="L12">
        <f>IF(VLOOKUP($A12,'Control Groups'!$A:$D,3,FALSE)="Tier 0 – Universal","Yes",IF(COUNTIFS('Tier Category Mapping'!$A:$A,VLOOKUP($A12,'Control Groups'!$A:$D,3,FALSE),'Tier Category Mapping'!$B:$B,L2,'Tier Category Mapping'!$D:$D,"Yes")&gt;0,"Yes",""))</f>
        <v/>
      </c>
      <c r="M12">
        <f>IF(VLOOKUP($A12,'Control Groups'!$A:$D,3,FALSE)="Tier 0 – Universal","Yes",IF(COUNTIFS('Tier Category Mapping'!$A:$A,VLOOKUP($A12,'Control Groups'!$A:$D,3,FALSE),'Tier Category Mapping'!$B:$B,M2,'Tier Category Mapping'!$D:$D,"Yes")&gt;0,"Yes",""))</f>
        <v/>
      </c>
      <c r="N12">
        <f>IF(VLOOKUP($A12,'Control Groups'!$A:$D,3,FALSE)="Tier 0 – Universal","Yes",IF(COUNTIFS('Tier Category Mapping'!$A:$A,VLOOKUP($A12,'Control Groups'!$A:$D,3,FALSE),'Tier Category Mapping'!$B:$B,N2,'Tier Category Mapping'!$D:$D,"Yes")&gt;0,"Yes",""))</f>
        <v/>
      </c>
      <c r="O12">
        <f>IF(VLOOKUP($A12,'Control Groups'!$A:$D,3,FALSE)="Tier 0 – Universal","Yes",IF(COUNTIFS('Tier Category Mapping'!$A:$A,VLOOKUP($A12,'Control Groups'!$A:$D,3,FALSE),'Tier Category Mapping'!$B:$B,O2,'Tier Category Mapping'!$D:$D,"Yes")&gt;0,"Yes",""))</f>
        <v/>
      </c>
      <c r="P12">
        <f>IF(VLOOKUP($A12,'Control Groups'!$A:$D,3,FALSE)="Tier 0 – Universal","Yes",IF(COUNTIFS('Tier Category Mapping'!$A:$A,VLOOKUP($A12,'Control Groups'!$A:$D,3,FALSE),'Tier Category Mapping'!$B:$B,P2,'Tier Category Mapping'!$D:$D,"Yes")&gt;0,"Yes",""))</f>
        <v/>
      </c>
      <c r="Q12">
        <f>IF(VLOOKUP($A12,'Control Groups'!$A:$D,3,FALSE)="Tier 0 – Universal","Yes",IF(COUNTIFS('Tier Category Mapping'!$A:$A,VLOOKUP($A12,'Control Groups'!$A:$D,3,FALSE),'Tier Category Mapping'!$B:$B,Q2,'Tier Category Mapping'!$D:$D,"Yes")&gt;0,"Yes",""))</f>
        <v/>
      </c>
      <c r="R12">
        <f>IF(VLOOKUP($A12,'Control Groups'!$A:$D,3,FALSE)="Tier 0 – Universal","Yes",IF(COUNTIFS('Tier Category Mapping'!$A:$A,VLOOKUP($A12,'Control Groups'!$A:$D,3,FALSE),'Tier Category Mapping'!$B:$B,R2,'Tier Category Mapping'!$D:$D,"Yes")&gt;0,"Yes",""))</f>
        <v/>
      </c>
      <c r="S12">
        <f>IF(VLOOKUP($A12,'Control Groups'!$A:$D,3,FALSE)="Tier 0 – Universal","Yes",IF(COUNTIFS('Tier Category Mapping'!$A:$A,VLOOKUP($A12,'Control Groups'!$A:$D,3,FALSE),'Tier Category Mapping'!$B:$B,S2,'Tier Category Mapping'!$D:$D,"Yes")&gt;0,"Yes",""))</f>
        <v/>
      </c>
      <c r="T12">
        <f>IF(VLOOKUP($A12,'Control Groups'!$A:$D,3,FALSE)="Tier 0 – Universal","Yes",IF(COUNTIFS('Tier Category Mapping'!$A:$A,VLOOKUP($A12,'Control Groups'!$A:$D,3,FALSE),'Tier Category Mapping'!$B:$B,T2,'Tier Category Mapping'!$D:$D,"Yes")&gt;0,"Yes",""))</f>
        <v/>
      </c>
      <c r="U12">
        <f>IF(VLOOKUP($A12,'Control Groups'!$A:$D,3,FALSE)="Tier 0 – Universal","Yes",IF(COUNTIFS('Tier Category Mapping'!$A:$A,VLOOKUP($A12,'Control Groups'!$A:$D,3,FALSE),'Tier Category Mapping'!$B:$B,U2,'Tier Category Mapping'!$D:$D,"Yes")&gt;0,"Yes",""))</f>
        <v/>
      </c>
      <c r="V12">
        <f>IF(VLOOKUP($A12,'Control Groups'!$A:$D,3,FALSE)="Tier 0 – Universal","Yes",IF(COUNTIFS('Tier Category Mapping'!$A:$A,VLOOKUP($A12,'Control Groups'!$A:$D,3,FALSE),'Tier Category Mapping'!$B:$B,V2,'Tier Category Mapping'!$D:$D,"Yes")&gt;0,"Yes",""))</f>
        <v/>
      </c>
      <c r="W12">
        <f>IF(VLOOKUP($A12,'Control Groups'!$A:$D,3,FALSE)="Tier 0 – Universal","Yes",IF(COUNTIFS('Tier Category Mapping'!$A:$A,VLOOKUP($A12,'Control Groups'!$A:$D,3,FALSE),'Tier Category Mapping'!$B:$B,W2,'Tier Category Mapping'!$D:$D,"Yes")&gt;0,"Yes",""))</f>
        <v/>
      </c>
    </row>
    <row r="13">
      <c r="A13" t="inlineStr">
        <is>
          <t>LM-01</t>
        </is>
      </c>
      <c r="B13" t="inlineStr">
        <is>
          <t>System logging enabled</t>
        </is>
      </c>
      <c r="C13">
        <f>IF(VLOOKUP($A13,'Control Groups'!$A:$D,3,FALSE)="Tier 0 – Universal","Yes",IF(COUNTIFS('Tier Category Mapping'!$A:$A,VLOOKUP($A13,'Control Groups'!$A:$D,3,FALSE),'Tier Category Mapping'!$B:$B,C2,'Tier Category Mapping'!$D:$D,"Yes")&gt;0,"Yes",""))</f>
        <v/>
      </c>
      <c r="D13">
        <f>IF(VLOOKUP($A13,'Control Groups'!$A:$D,3,FALSE)="Tier 0 – Universal","Yes",IF(COUNTIFS('Tier Category Mapping'!$A:$A,VLOOKUP($A13,'Control Groups'!$A:$D,3,FALSE),'Tier Category Mapping'!$B:$B,D2,'Tier Category Mapping'!$D:$D,"Yes")&gt;0,"Yes",""))</f>
        <v/>
      </c>
      <c r="E13">
        <f>IF(VLOOKUP($A13,'Control Groups'!$A:$D,3,FALSE)="Tier 0 – Universal","Yes",IF(COUNTIFS('Tier Category Mapping'!$A:$A,VLOOKUP($A13,'Control Groups'!$A:$D,3,FALSE),'Tier Category Mapping'!$B:$B,E2,'Tier Category Mapping'!$D:$D,"Yes")&gt;0,"Yes",""))</f>
        <v/>
      </c>
      <c r="F13">
        <f>IF(VLOOKUP($A13,'Control Groups'!$A:$D,3,FALSE)="Tier 0 – Universal","Yes",IF(COUNTIFS('Tier Category Mapping'!$A:$A,VLOOKUP($A13,'Control Groups'!$A:$D,3,FALSE),'Tier Category Mapping'!$B:$B,F2,'Tier Category Mapping'!$D:$D,"Yes")&gt;0,"Yes",""))</f>
        <v/>
      </c>
      <c r="G13">
        <f>IF(VLOOKUP($A13,'Control Groups'!$A:$D,3,FALSE)="Tier 0 – Universal","Yes",IF(COUNTIFS('Tier Category Mapping'!$A:$A,VLOOKUP($A13,'Control Groups'!$A:$D,3,FALSE),'Tier Category Mapping'!$B:$B,G2,'Tier Category Mapping'!$D:$D,"Yes")&gt;0,"Yes",""))</f>
        <v/>
      </c>
      <c r="H13">
        <f>IF(VLOOKUP($A13,'Control Groups'!$A:$D,3,FALSE)="Tier 0 – Universal","Yes",IF(COUNTIFS('Tier Category Mapping'!$A:$A,VLOOKUP($A13,'Control Groups'!$A:$D,3,FALSE),'Tier Category Mapping'!$B:$B,H2,'Tier Category Mapping'!$D:$D,"Yes")&gt;0,"Yes",""))</f>
        <v/>
      </c>
      <c r="I13">
        <f>IF(VLOOKUP($A13,'Control Groups'!$A:$D,3,FALSE)="Tier 0 – Universal","Yes",IF(COUNTIFS('Tier Category Mapping'!$A:$A,VLOOKUP($A13,'Control Groups'!$A:$D,3,FALSE),'Tier Category Mapping'!$B:$B,I2,'Tier Category Mapping'!$D:$D,"Yes")&gt;0,"Yes",""))</f>
        <v/>
      </c>
      <c r="J13">
        <f>IF(VLOOKUP($A13,'Control Groups'!$A:$D,3,FALSE)="Tier 0 – Universal","Yes",IF(COUNTIFS('Tier Category Mapping'!$A:$A,VLOOKUP($A13,'Control Groups'!$A:$D,3,FALSE),'Tier Category Mapping'!$B:$B,J2,'Tier Category Mapping'!$D:$D,"Yes")&gt;0,"Yes",""))</f>
        <v/>
      </c>
      <c r="K13">
        <f>IF(VLOOKUP($A13,'Control Groups'!$A:$D,3,FALSE)="Tier 0 – Universal","Yes",IF(COUNTIFS('Tier Category Mapping'!$A:$A,VLOOKUP($A13,'Control Groups'!$A:$D,3,FALSE),'Tier Category Mapping'!$B:$B,K2,'Tier Category Mapping'!$D:$D,"Yes")&gt;0,"Yes",""))</f>
        <v/>
      </c>
      <c r="L13">
        <f>IF(VLOOKUP($A13,'Control Groups'!$A:$D,3,FALSE)="Tier 0 – Universal","Yes",IF(COUNTIFS('Tier Category Mapping'!$A:$A,VLOOKUP($A13,'Control Groups'!$A:$D,3,FALSE),'Tier Category Mapping'!$B:$B,L2,'Tier Category Mapping'!$D:$D,"Yes")&gt;0,"Yes",""))</f>
        <v/>
      </c>
      <c r="M13">
        <f>IF(VLOOKUP($A13,'Control Groups'!$A:$D,3,FALSE)="Tier 0 – Universal","Yes",IF(COUNTIFS('Tier Category Mapping'!$A:$A,VLOOKUP($A13,'Control Groups'!$A:$D,3,FALSE),'Tier Category Mapping'!$B:$B,M2,'Tier Category Mapping'!$D:$D,"Yes")&gt;0,"Yes",""))</f>
        <v/>
      </c>
      <c r="N13">
        <f>IF(VLOOKUP($A13,'Control Groups'!$A:$D,3,FALSE)="Tier 0 – Universal","Yes",IF(COUNTIFS('Tier Category Mapping'!$A:$A,VLOOKUP($A13,'Control Groups'!$A:$D,3,FALSE),'Tier Category Mapping'!$B:$B,N2,'Tier Category Mapping'!$D:$D,"Yes")&gt;0,"Yes",""))</f>
        <v/>
      </c>
      <c r="O13">
        <f>IF(VLOOKUP($A13,'Control Groups'!$A:$D,3,FALSE)="Tier 0 – Universal","Yes",IF(COUNTIFS('Tier Category Mapping'!$A:$A,VLOOKUP($A13,'Control Groups'!$A:$D,3,FALSE),'Tier Category Mapping'!$B:$B,O2,'Tier Category Mapping'!$D:$D,"Yes")&gt;0,"Yes",""))</f>
        <v/>
      </c>
      <c r="P13">
        <f>IF(VLOOKUP($A13,'Control Groups'!$A:$D,3,FALSE)="Tier 0 – Universal","Yes",IF(COUNTIFS('Tier Category Mapping'!$A:$A,VLOOKUP($A13,'Control Groups'!$A:$D,3,FALSE),'Tier Category Mapping'!$B:$B,P2,'Tier Category Mapping'!$D:$D,"Yes")&gt;0,"Yes",""))</f>
        <v/>
      </c>
      <c r="Q13">
        <f>IF(VLOOKUP($A13,'Control Groups'!$A:$D,3,FALSE)="Tier 0 – Universal","Yes",IF(COUNTIFS('Tier Category Mapping'!$A:$A,VLOOKUP($A13,'Control Groups'!$A:$D,3,FALSE),'Tier Category Mapping'!$B:$B,Q2,'Tier Category Mapping'!$D:$D,"Yes")&gt;0,"Yes",""))</f>
        <v/>
      </c>
      <c r="R13">
        <f>IF(VLOOKUP($A13,'Control Groups'!$A:$D,3,FALSE)="Tier 0 – Universal","Yes",IF(COUNTIFS('Tier Category Mapping'!$A:$A,VLOOKUP($A13,'Control Groups'!$A:$D,3,FALSE),'Tier Category Mapping'!$B:$B,R2,'Tier Category Mapping'!$D:$D,"Yes")&gt;0,"Yes",""))</f>
        <v/>
      </c>
      <c r="S13">
        <f>IF(VLOOKUP($A13,'Control Groups'!$A:$D,3,FALSE)="Tier 0 – Universal","Yes",IF(COUNTIFS('Tier Category Mapping'!$A:$A,VLOOKUP($A13,'Control Groups'!$A:$D,3,FALSE),'Tier Category Mapping'!$B:$B,S2,'Tier Category Mapping'!$D:$D,"Yes")&gt;0,"Yes",""))</f>
        <v/>
      </c>
      <c r="T13">
        <f>IF(VLOOKUP($A13,'Control Groups'!$A:$D,3,FALSE)="Tier 0 – Universal","Yes",IF(COUNTIFS('Tier Category Mapping'!$A:$A,VLOOKUP($A13,'Control Groups'!$A:$D,3,FALSE),'Tier Category Mapping'!$B:$B,T2,'Tier Category Mapping'!$D:$D,"Yes")&gt;0,"Yes",""))</f>
        <v/>
      </c>
      <c r="U13">
        <f>IF(VLOOKUP($A13,'Control Groups'!$A:$D,3,FALSE)="Tier 0 – Universal","Yes",IF(COUNTIFS('Tier Category Mapping'!$A:$A,VLOOKUP($A13,'Control Groups'!$A:$D,3,FALSE),'Tier Category Mapping'!$B:$B,U2,'Tier Category Mapping'!$D:$D,"Yes")&gt;0,"Yes",""))</f>
        <v/>
      </c>
      <c r="V13">
        <f>IF(VLOOKUP($A13,'Control Groups'!$A:$D,3,FALSE)="Tier 0 – Universal","Yes",IF(COUNTIFS('Tier Category Mapping'!$A:$A,VLOOKUP($A13,'Control Groups'!$A:$D,3,FALSE),'Tier Category Mapping'!$B:$B,V2,'Tier Category Mapping'!$D:$D,"Yes")&gt;0,"Yes",""))</f>
        <v/>
      </c>
      <c r="W13">
        <f>IF(VLOOKUP($A13,'Control Groups'!$A:$D,3,FALSE)="Tier 0 – Universal","Yes",IF(COUNTIFS('Tier Category Mapping'!$A:$A,VLOOKUP($A13,'Control Groups'!$A:$D,3,FALSE),'Tier Category Mapping'!$B:$B,W2,'Tier Category Mapping'!$D:$D,"Yes")&gt;0,"Yes",""))</f>
        <v/>
      </c>
    </row>
    <row r="14">
      <c r="A14" t="inlineStr">
        <is>
          <t>LM-02</t>
        </is>
      </c>
      <c r="B14" t="inlineStr">
        <is>
          <t>Logs forwarded centrally</t>
        </is>
      </c>
      <c r="C14">
        <f>IF(VLOOKUP($A14,'Control Groups'!$A:$D,3,FALSE)="Tier 0 – Universal","Yes",IF(COUNTIFS('Tier Category Mapping'!$A:$A,VLOOKUP($A14,'Control Groups'!$A:$D,3,FALSE),'Tier Category Mapping'!$B:$B,C2,'Tier Category Mapping'!$D:$D,"Yes")&gt;0,"Yes",""))</f>
        <v/>
      </c>
      <c r="D14">
        <f>IF(VLOOKUP($A14,'Control Groups'!$A:$D,3,FALSE)="Tier 0 – Universal","Yes",IF(COUNTIFS('Tier Category Mapping'!$A:$A,VLOOKUP($A14,'Control Groups'!$A:$D,3,FALSE),'Tier Category Mapping'!$B:$B,D2,'Tier Category Mapping'!$D:$D,"Yes")&gt;0,"Yes",""))</f>
        <v/>
      </c>
      <c r="E14">
        <f>IF(VLOOKUP($A14,'Control Groups'!$A:$D,3,FALSE)="Tier 0 – Universal","Yes",IF(COUNTIFS('Tier Category Mapping'!$A:$A,VLOOKUP($A14,'Control Groups'!$A:$D,3,FALSE),'Tier Category Mapping'!$B:$B,E2,'Tier Category Mapping'!$D:$D,"Yes")&gt;0,"Yes",""))</f>
        <v/>
      </c>
      <c r="F14">
        <f>IF(VLOOKUP($A14,'Control Groups'!$A:$D,3,FALSE)="Tier 0 – Universal","Yes",IF(COUNTIFS('Tier Category Mapping'!$A:$A,VLOOKUP($A14,'Control Groups'!$A:$D,3,FALSE),'Tier Category Mapping'!$B:$B,F2,'Tier Category Mapping'!$D:$D,"Yes")&gt;0,"Yes",""))</f>
        <v/>
      </c>
      <c r="G14">
        <f>IF(VLOOKUP($A14,'Control Groups'!$A:$D,3,FALSE)="Tier 0 – Universal","Yes",IF(COUNTIFS('Tier Category Mapping'!$A:$A,VLOOKUP($A14,'Control Groups'!$A:$D,3,FALSE),'Tier Category Mapping'!$B:$B,G2,'Tier Category Mapping'!$D:$D,"Yes")&gt;0,"Yes",""))</f>
        <v/>
      </c>
      <c r="H14">
        <f>IF(VLOOKUP($A14,'Control Groups'!$A:$D,3,FALSE)="Tier 0 – Universal","Yes",IF(COUNTIFS('Tier Category Mapping'!$A:$A,VLOOKUP($A14,'Control Groups'!$A:$D,3,FALSE),'Tier Category Mapping'!$B:$B,H2,'Tier Category Mapping'!$D:$D,"Yes")&gt;0,"Yes",""))</f>
        <v/>
      </c>
      <c r="I14">
        <f>IF(VLOOKUP($A14,'Control Groups'!$A:$D,3,FALSE)="Tier 0 – Universal","Yes",IF(COUNTIFS('Tier Category Mapping'!$A:$A,VLOOKUP($A14,'Control Groups'!$A:$D,3,FALSE),'Tier Category Mapping'!$B:$B,I2,'Tier Category Mapping'!$D:$D,"Yes")&gt;0,"Yes",""))</f>
        <v/>
      </c>
      <c r="J14">
        <f>IF(VLOOKUP($A14,'Control Groups'!$A:$D,3,FALSE)="Tier 0 – Universal","Yes",IF(COUNTIFS('Tier Category Mapping'!$A:$A,VLOOKUP($A14,'Control Groups'!$A:$D,3,FALSE),'Tier Category Mapping'!$B:$B,J2,'Tier Category Mapping'!$D:$D,"Yes")&gt;0,"Yes",""))</f>
        <v/>
      </c>
      <c r="K14">
        <f>IF(VLOOKUP($A14,'Control Groups'!$A:$D,3,FALSE)="Tier 0 – Universal","Yes",IF(COUNTIFS('Tier Category Mapping'!$A:$A,VLOOKUP($A14,'Control Groups'!$A:$D,3,FALSE),'Tier Category Mapping'!$B:$B,K2,'Tier Category Mapping'!$D:$D,"Yes")&gt;0,"Yes",""))</f>
        <v/>
      </c>
      <c r="L14">
        <f>IF(VLOOKUP($A14,'Control Groups'!$A:$D,3,FALSE)="Tier 0 – Universal","Yes",IF(COUNTIFS('Tier Category Mapping'!$A:$A,VLOOKUP($A14,'Control Groups'!$A:$D,3,FALSE),'Tier Category Mapping'!$B:$B,L2,'Tier Category Mapping'!$D:$D,"Yes")&gt;0,"Yes",""))</f>
        <v/>
      </c>
      <c r="M14">
        <f>IF(VLOOKUP($A14,'Control Groups'!$A:$D,3,FALSE)="Tier 0 – Universal","Yes",IF(COUNTIFS('Tier Category Mapping'!$A:$A,VLOOKUP($A14,'Control Groups'!$A:$D,3,FALSE),'Tier Category Mapping'!$B:$B,M2,'Tier Category Mapping'!$D:$D,"Yes")&gt;0,"Yes",""))</f>
        <v/>
      </c>
      <c r="N14">
        <f>IF(VLOOKUP($A14,'Control Groups'!$A:$D,3,FALSE)="Tier 0 – Universal","Yes",IF(COUNTIFS('Tier Category Mapping'!$A:$A,VLOOKUP($A14,'Control Groups'!$A:$D,3,FALSE),'Tier Category Mapping'!$B:$B,N2,'Tier Category Mapping'!$D:$D,"Yes")&gt;0,"Yes",""))</f>
        <v/>
      </c>
      <c r="O14">
        <f>IF(VLOOKUP($A14,'Control Groups'!$A:$D,3,FALSE)="Tier 0 – Universal","Yes",IF(COUNTIFS('Tier Category Mapping'!$A:$A,VLOOKUP($A14,'Control Groups'!$A:$D,3,FALSE),'Tier Category Mapping'!$B:$B,O2,'Tier Category Mapping'!$D:$D,"Yes")&gt;0,"Yes",""))</f>
        <v/>
      </c>
      <c r="P14">
        <f>IF(VLOOKUP($A14,'Control Groups'!$A:$D,3,FALSE)="Tier 0 – Universal","Yes",IF(COUNTIFS('Tier Category Mapping'!$A:$A,VLOOKUP($A14,'Control Groups'!$A:$D,3,FALSE),'Tier Category Mapping'!$B:$B,P2,'Tier Category Mapping'!$D:$D,"Yes")&gt;0,"Yes",""))</f>
        <v/>
      </c>
      <c r="Q14">
        <f>IF(VLOOKUP($A14,'Control Groups'!$A:$D,3,FALSE)="Tier 0 – Universal","Yes",IF(COUNTIFS('Tier Category Mapping'!$A:$A,VLOOKUP($A14,'Control Groups'!$A:$D,3,FALSE),'Tier Category Mapping'!$B:$B,Q2,'Tier Category Mapping'!$D:$D,"Yes")&gt;0,"Yes",""))</f>
        <v/>
      </c>
      <c r="R14">
        <f>IF(VLOOKUP($A14,'Control Groups'!$A:$D,3,FALSE)="Tier 0 – Universal","Yes",IF(COUNTIFS('Tier Category Mapping'!$A:$A,VLOOKUP($A14,'Control Groups'!$A:$D,3,FALSE),'Tier Category Mapping'!$B:$B,R2,'Tier Category Mapping'!$D:$D,"Yes")&gt;0,"Yes",""))</f>
        <v/>
      </c>
      <c r="S14">
        <f>IF(VLOOKUP($A14,'Control Groups'!$A:$D,3,FALSE)="Tier 0 – Universal","Yes",IF(COUNTIFS('Tier Category Mapping'!$A:$A,VLOOKUP($A14,'Control Groups'!$A:$D,3,FALSE),'Tier Category Mapping'!$B:$B,S2,'Tier Category Mapping'!$D:$D,"Yes")&gt;0,"Yes",""))</f>
        <v/>
      </c>
      <c r="T14">
        <f>IF(VLOOKUP($A14,'Control Groups'!$A:$D,3,FALSE)="Tier 0 – Universal","Yes",IF(COUNTIFS('Tier Category Mapping'!$A:$A,VLOOKUP($A14,'Control Groups'!$A:$D,3,FALSE),'Tier Category Mapping'!$B:$B,T2,'Tier Category Mapping'!$D:$D,"Yes")&gt;0,"Yes",""))</f>
        <v/>
      </c>
      <c r="U14">
        <f>IF(VLOOKUP($A14,'Control Groups'!$A:$D,3,FALSE)="Tier 0 – Universal","Yes",IF(COUNTIFS('Tier Category Mapping'!$A:$A,VLOOKUP($A14,'Control Groups'!$A:$D,3,FALSE),'Tier Category Mapping'!$B:$B,U2,'Tier Category Mapping'!$D:$D,"Yes")&gt;0,"Yes",""))</f>
        <v/>
      </c>
      <c r="V14">
        <f>IF(VLOOKUP($A14,'Control Groups'!$A:$D,3,FALSE)="Tier 0 – Universal","Yes",IF(COUNTIFS('Tier Category Mapping'!$A:$A,VLOOKUP($A14,'Control Groups'!$A:$D,3,FALSE),'Tier Category Mapping'!$B:$B,V2,'Tier Category Mapping'!$D:$D,"Yes")&gt;0,"Yes",""))</f>
        <v/>
      </c>
      <c r="W14">
        <f>IF(VLOOKUP($A14,'Control Groups'!$A:$D,3,FALSE)="Tier 0 – Universal","Yes",IF(COUNTIFS('Tier Category Mapping'!$A:$A,VLOOKUP($A14,'Control Groups'!$A:$D,3,FALSE),'Tier Category Mapping'!$B:$B,W2,'Tier Category Mapping'!$D:$D,"Yes")&gt;0,"Yes",""))</f>
        <v/>
      </c>
    </row>
    <row r="15">
      <c r="A15" t="inlineStr">
        <is>
          <t>LM-03</t>
        </is>
      </c>
      <c r="B15" t="inlineStr">
        <is>
          <t>Time synchronization enabled</t>
        </is>
      </c>
      <c r="C15">
        <f>IF(VLOOKUP($A15,'Control Groups'!$A:$D,3,FALSE)="Tier 0 – Universal","Yes",IF(COUNTIFS('Tier Category Mapping'!$A:$A,VLOOKUP($A15,'Control Groups'!$A:$D,3,FALSE),'Tier Category Mapping'!$B:$B,C2,'Tier Category Mapping'!$D:$D,"Yes")&gt;0,"Yes",""))</f>
        <v/>
      </c>
      <c r="D15">
        <f>IF(VLOOKUP($A15,'Control Groups'!$A:$D,3,FALSE)="Tier 0 – Universal","Yes",IF(COUNTIFS('Tier Category Mapping'!$A:$A,VLOOKUP($A15,'Control Groups'!$A:$D,3,FALSE),'Tier Category Mapping'!$B:$B,D2,'Tier Category Mapping'!$D:$D,"Yes")&gt;0,"Yes",""))</f>
        <v/>
      </c>
      <c r="E15">
        <f>IF(VLOOKUP($A15,'Control Groups'!$A:$D,3,FALSE)="Tier 0 – Universal","Yes",IF(COUNTIFS('Tier Category Mapping'!$A:$A,VLOOKUP($A15,'Control Groups'!$A:$D,3,FALSE),'Tier Category Mapping'!$B:$B,E2,'Tier Category Mapping'!$D:$D,"Yes")&gt;0,"Yes",""))</f>
        <v/>
      </c>
      <c r="F15">
        <f>IF(VLOOKUP($A15,'Control Groups'!$A:$D,3,FALSE)="Tier 0 – Universal","Yes",IF(COUNTIFS('Tier Category Mapping'!$A:$A,VLOOKUP($A15,'Control Groups'!$A:$D,3,FALSE),'Tier Category Mapping'!$B:$B,F2,'Tier Category Mapping'!$D:$D,"Yes")&gt;0,"Yes",""))</f>
        <v/>
      </c>
      <c r="G15">
        <f>IF(VLOOKUP($A15,'Control Groups'!$A:$D,3,FALSE)="Tier 0 – Universal","Yes",IF(COUNTIFS('Tier Category Mapping'!$A:$A,VLOOKUP($A15,'Control Groups'!$A:$D,3,FALSE),'Tier Category Mapping'!$B:$B,G2,'Tier Category Mapping'!$D:$D,"Yes")&gt;0,"Yes",""))</f>
        <v/>
      </c>
      <c r="H15">
        <f>IF(VLOOKUP($A15,'Control Groups'!$A:$D,3,FALSE)="Tier 0 – Universal","Yes",IF(COUNTIFS('Tier Category Mapping'!$A:$A,VLOOKUP($A15,'Control Groups'!$A:$D,3,FALSE),'Tier Category Mapping'!$B:$B,H2,'Tier Category Mapping'!$D:$D,"Yes")&gt;0,"Yes",""))</f>
        <v/>
      </c>
      <c r="I15">
        <f>IF(VLOOKUP($A15,'Control Groups'!$A:$D,3,FALSE)="Tier 0 – Universal","Yes",IF(COUNTIFS('Tier Category Mapping'!$A:$A,VLOOKUP($A15,'Control Groups'!$A:$D,3,FALSE),'Tier Category Mapping'!$B:$B,I2,'Tier Category Mapping'!$D:$D,"Yes")&gt;0,"Yes",""))</f>
        <v/>
      </c>
      <c r="J15">
        <f>IF(VLOOKUP($A15,'Control Groups'!$A:$D,3,FALSE)="Tier 0 – Universal","Yes",IF(COUNTIFS('Tier Category Mapping'!$A:$A,VLOOKUP($A15,'Control Groups'!$A:$D,3,FALSE),'Tier Category Mapping'!$B:$B,J2,'Tier Category Mapping'!$D:$D,"Yes")&gt;0,"Yes",""))</f>
        <v/>
      </c>
      <c r="K15">
        <f>IF(VLOOKUP($A15,'Control Groups'!$A:$D,3,FALSE)="Tier 0 – Universal","Yes",IF(COUNTIFS('Tier Category Mapping'!$A:$A,VLOOKUP($A15,'Control Groups'!$A:$D,3,FALSE),'Tier Category Mapping'!$B:$B,K2,'Tier Category Mapping'!$D:$D,"Yes")&gt;0,"Yes",""))</f>
        <v/>
      </c>
      <c r="L15">
        <f>IF(VLOOKUP($A15,'Control Groups'!$A:$D,3,FALSE)="Tier 0 – Universal","Yes",IF(COUNTIFS('Tier Category Mapping'!$A:$A,VLOOKUP($A15,'Control Groups'!$A:$D,3,FALSE),'Tier Category Mapping'!$B:$B,L2,'Tier Category Mapping'!$D:$D,"Yes")&gt;0,"Yes",""))</f>
        <v/>
      </c>
      <c r="M15">
        <f>IF(VLOOKUP($A15,'Control Groups'!$A:$D,3,FALSE)="Tier 0 – Universal","Yes",IF(COUNTIFS('Tier Category Mapping'!$A:$A,VLOOKUP($A15,'Control Groups'!$A:$D,3,FALSE),'Tier Category Mapping'!$B:$B,M2,'Tier Category Mapping'!$D:$D,"Yes")&gt;0,"Yes",""))</f>
        <v/>
      </c>
      <c r="N15">
        <f>IF(VLOOKUP($A15,'Control Groups'!$A:$D,3,FALSE)="Tier 0 – Universal","Yes",IF(COUNTIFS('Tier Category Mapping'!$A:$A,VLOOKUP($A15,'Control Groups'!$A:$D,3,FALSE),'Tier Category Mapping'!$B:$B,N2,'Tier Category Mapping'!$D:$D,"Yes")&gt;0,"Yes",""))</f>
        <v/>
      </c>
      <c r="O15">
        <f>IF(VLOOKUP($A15,'Control Groups'!$A:$D,3,FALSE)="Tier 0 – Universal","Yes",IF(COUNTIFS('Tier Category Mapping'!$A:$A,VLOOKUP($A15,'Control Groups'!$A:$D,3,FALSE),'Tier Category Mapping'!$B:$B,O2,'Tier Category Mapping'!$D:$D,"Yes")&gt;0,"Yes",""))</f>
        <v/>
      </c>
      <c r="P15">
        <f>IF(VLOOKUP($A15,'Control Groups'!$A:$D,3,FALSE)="Tier 0 – Universal","Yes",IF(COUNTIFS('Tier Category Mapping'!$A:$A,VLOOKUP($A15,'Control Groups'!$A:$D,3,FALSE),'Tier Category Mapping'!$B:$B,P2,'Tier Category Mapping'!$D:$D,"Yes")&gt;0,"Yes",""))</f>
        <v/>
      </c>
      <c r="Q15">
        <f>IF(VLOOKUP($A15,'Control Groups'!$A:$D,3,FALSE)="Tier 0 – Universal","Yes",IF(COUNTIFS('Tier Category Mapping'!$A:$A,VLOOKUP($A15,'Control Groups'!$A:$D,3,FALSE),'Tier Category Mapping'!$B:$B,Q2,'Tier Category Mapping'!$D:$D,"Yes")&gt;0,"Yes",""))</f>
        <v/>
      </c>
      <c r="R15">
        <f>IF(VLOOKUP($A15,'Control Groups'!$A:$D,3,FALSE)="Tier 0 – Universal","Yes",IF(COUNTIFS('Tier Category Mapping'!$A:$A,VLOOKUP($A15,'Control Groups'!$A:$D,3,FALSE),'Tier Category Mapping'!$B:$B,R2,'Tier Category Mapping'!$D:$D,"Yes")&gt;0,"Yes",""))</f>
        <v/>
      </c>
      <c r="S15">
        <f>IF(VLOOKUP($A15,'Control Groups'!$A:$D,3,FALSE)="Tier 0 – Universal","Yes",IF(COUNTIFS('Tier Category Mapping'!$A:$A,VLOOKUP($A15,'Control Groups'!$A:$D,3,FALSE),'Tier Category Mapping'!$B:$B,S2,'Tier Category Mapping'!$D:$D,"Yes")&gt;0,"Yes",""))</f>
        <v/>
      </c>
      <c r="T15">
        <f>IF(VLOOKUP($A15,'Control Groups'!$A:$D,3,FALSE)="Tier 0 – Universal","Yes",IF(COUNTIFS('Tier Category Mapping'!$A:$A,VLOOKUP($A15,'Control Groups'!$A:$D,3,FALSE),'Tier Category Mapping'!$B:$B,T2,'Tier Category Mapping'!$D:$D,"Yes")&gt;0,"Yes",""))</f>
        <v/>
      </c>
      <c r="U15">
        <f>IF(VLOOKUP($A15,'Control Groups'!$A:$D,3,FALSE)="Tier 0 – Universal","Yes",IF(COUNTIFS('Tier Category Mapping'!$A:$A,VLOOKUP($A15,'Control Groups'!$A:$D,3,FALSE),'Tier Category Mapping'!$B:$B,U2,'Tier Category Mapping'!$D:$D,"Yes")&gt;0,"Yes",""))</f>
        <v/>
      </c>
      <c r="V15">
        <f>IF(VLOOKUP($A15,'Control Groups'!$A:$D,3,FALSE)="Tier 0 – Universal","Yes",IF(COUNTIFS('Tier Category Mapping'!$A:$A,VLOOKUP($A15,'Control Groups'!$A:$D,3,FALSE),'Tier Category Mapping'!$B:$B,V2,'Tier Category Mapping'!$D:$D,"Yes")&gt;0,"Yes",""))</f>
        <v/>
      </c>
      <c r="W15">
        <f>IF(VLOOKUP($A15,'Control Groups'!$A:$D,3,FALSE)="Tier 0 – Universal","Yes",IF(COUNTIFS('Tier Category Mapping'!$A:$A,VLOOKUP($A15,'Control Groups'!$A:$D,3,FALSE),'Tier Category Mapping'!$B:$B,W2,'Tier Category Mapping'!$D:$D,"Yes")&gt;0,"Yes",""))</f>
        <v/>
      </c>
    </row>
    <row r="16">
      <c r="A16" t="inlineStr">
        <is>
          <t>PM-01</t>
        </is>
      </c>
      <c r="B16" t="inlineStr">
        <is>
          <t>OS patching enabled</t>
        </is>
      </c>
      <c r="C16">
        <f>IF(VLOOKUP($A16,'Control Groups'!$A:$D,3,FALSE)="Tier 0 – Universal","Yes",IF(COUNTIFS('Tier Category Mapping'!$A:$A,VLOOKUP($A16,'Control Groups'!$A:$D,3,FALSE),'Tier Category Mapping'!$B:$B,C2,'Tier Category Mapping'!$D:$D,"Yes")&gt;0,"Yes",""))</f>
        <v/>
      </c>
      <c r="D16">
        <f>IF(VLOOKUP($A16,'Control Groups'!$A:$D,3,FALSE)="Tier 0 – Universal","Yes",IF(COUNTIFS('Tier Category Mapping'!$A:$A,VLOOKUP($A16,'Control Groups'!$A:$D,3,FALSE),'Tier Category Mapping'!$B:$B,D2,'Tier Category Mapping'!$D:$D,"Yes")&gt;0,"Yes",""))</f>
        <v/>
      </c>
      <c r="E16">
        <f>IF(VLOOKUP($A16,'Control Groups'!$A:$D,3,FALSE)="Tier 0 – Universal","Yes",IF(COUNTIFS('Tier Category Mapping'!$A:$A,VLOOKUP($A16,'Control Groups'!$A:$D,3,FALSE),'Tier Category Mapping'!$B:$B,E2,'Tier Category Mapping'!$D:$D,"Yes")&gt;0,"Yes",""))</f>
        <v/>
      </c>
      <c r="F16">
        <f>IF(VLOOKUP($A16,'Control Groups'!$A:$D,3,FALSE)="Tier 0 – Universal","Yes",IF(COUNTIFS('Tier Category Mapping'!$A:$A,VLOOKUP($A16,'Control Groups'!$A:$D,3,FALSE),'Tier Category Mapping'!$B:$B,F2,'Tier Category Mapping'!$D:$D,"Yes")&gt;0,"Yes",""))</f>
        <v/>
      </c>
      <c r="G16">
        <f>IF(VLOOKUP($A16,'Control Groups'!$A:$D,3,FALSE)="Tier 0 – Universal","Yes",IF(COUNTIFS('Tier Category Mapping'!$A:$A,VLOOKUP($A16,'Control Groups'!$A:$D,3,FALSE),'Tier Category Mapping'!$B:$B,G2,'Tier Category Mapping'!$D:$D,"Yes")&gt;0,"Yes",""))</f>
        <v/>
      </c>
      <c r="H16">
        <f>IF(VLOOKUP($A16,'Control Groups'!$A:$D,3,FALSE)="Tier 0 – Universal","Yes",IF(COUNTIFS('Tier Category Mapping'!$A:$A,VLOOKUP($A16,'Control Groups'!$A:$D,3,FALSE),'Tier Category Mapping'!$B:$B,H2,'Tier Category Mapping'!$D:$D,"Yes")&gt;0,"Yes",""))</f>
        <v/>
      </c>
      <c r="I16">
        <f>IF(VLOOKUP($A16,'Control Groups'!$A:$D,3,FALSE)="Tier 0 – Universal","Yes",IF(COUNTIFS('Tier Category Mapping'!$A:$A,VLOOKUP($A16,'Control Groups'!$A:$D,3,FALSE),'Tier Category Mapping'!$B:$B,I2,'Tier Category Mapping'!$D:$D,"Yes")&gt;0,"Yes",""))</f>
        <v/>
      </c>
      <c r="J16">
        <f>IF(VLOOKUP($A16,'Control Groups'!$A:$D,3,FALSE)="Tier 0 – Universal","Yes",IF(COUNTIFS('Tier Category Mapping'!$A:$A,VLOOKUP($A16,'Control Groups'!$A:$D,3,FALSE),'Tier Category Mapping'!$B:$B,J2,'Tier Category Mapping'!$D:$D,"Yes")&gt;0,"Yes",""))</f>
        <v/>
      </c>
      <c r="K16">
        <f>IF(VLOOKUP($A16,'Control Groups'!$A:$D,3,FALSE)="Tier 0 – Universal","Yes",IF(COUNTIFS('Tier Category Mapping'!$A:$A,VLOOKUP($A16,'Control Groups'!$A:$D,3,FALSE),'Tier Category Mapping'!$B:$B,K2,'Tier Category Mapping'!$D:$D,"Yes")&gt;0,"Yes",""))</f>
        <v/>
      </c>
      <c r="L16">
        <f>IF(VLOOKUP($A16,'Control Groups'!$A:$D,3,FALSE)="Tier 0 – Universal","Yes",IF(COUNTIFS('Tier Category Mapping'!$A:$A,VLOOKUP($A16,'Control Groups'!$A:$D,3,FALSE),'Tier Category Mapping'!$B:$B,L2,'Tier Category Mapping'!$D:$D,"Yes")&gt;0,"Yes",""))</f>
        <v/>
      </c>
      <c r="M16">
        <f>IF(VLOOKUP($A16,'Control Groups'!$A:$D,3,FALSE)="Tier 0 – Universal","Yes",IF(COUNTIFS('Tier Category Mapping'!$A:$A,VLOOKUP($A16,'Control Groups'!$A:$D,3,FALSE),'Tier Category Mapping'!$B:$B,M2,'Tier Category Mapping'!$D:$D,"Yes")&gt;0,"Yes",""))</f>
        <v/>
      </c>
      <c r="N16">
        <f>IF(VLOOKUP($A16,'Control Groups'!$A:$D,3,FALSE)="Tier 0 – Universal","Yes",IF(COUNTIFS('Tier Category Mapping'!$A:$A,VLOOKUP($A16,'Control Groups'!$A:$D,3,FALSE),'Tier Category Mapping'!$B:$B,N2,'Tier Category Mapping'!$D:$D,"Yes")&gt;0,"Yes",""))</f>
        <v/>
      </c>
      <c r="O16">
        <f>IF(VLOOKUP($A16,'Control Groups'!$A:$D,3,FALSE)="Tier 0 – Universal","Yes",IF(COUNTIFS('Tier Category Mapping'!$A:$A,VLOOKUP($A16,'Control Groups'!$A:$D,3,FALSE),'Tier Category Mapping'!$B:$B,O2,'Tier Category Mapping'!$D:$D,"Yes")&gt;0,"Yes",""))</f>
        <v/>
      </c>
      <c r="P16">
        <f>IF(VLOOKUP($A16,'Control Groups'!$A:$D,3,FALSE)="Tier 0 – Universal","Yes",IF(COUNTIFS('Tier Category Mapping'!$A:$A,VLOOKUP($A16,'Control Groups'!$A:$D,3,FALSE),'Tier Category Mapping'!$B:$B,P2,'Tier Category Mapping'!$D:$D,"Yes")&gt;0,"Yes",""))</f>
        <v/>
      </c>
      <c r="Q16">
        <f>IF(VLOOKUP($A16,'Control Groups'!$A:$D,3,FALSE)="Tier 0 – Universal","Yes",IF(COUNTIFS('Tier Category Mapping'!$A:$A,VLOOKUP($A16,'Control Groups'!$A:$D,3,FALSE),'Tier Category Mapping'!$B:$B,Q2,'Tier Category Mapping'!$D:$D,"Yes")&gt;0,"Yes",""))</f>
        <v/>
      </c>
      <c r="R16">
        <f>IF(VLOOKUP($A16,'Control Groups'!$A:$D,3,FALSE)="Tier 0 – Universal","Yes",IF(COUNTIFS('Tier Category Mapping'!$A:$A,VLOOKUP($A16,'Control Groups'!$A:$D,3,FALSE),'Tier Category Mapping'!$B:$B,R2,'Tier Category Mapping'!$D:$D,"Yes")&gt;0,"Yes",""))</f>
        <v/>
      </c>
      <c r="S16">
        <f>IF(VLOOKUP($A16,'Control Groups'!$A:$D,3,FALSE)="Tier 0 – Universal","Yes",IF(COUNTIFS('Tier Category Mapping'!$A:$A,VLOOKUP($A16,'Control Groups'!$A:$D,3,FALSE),'Tier Category Mapping'!$B:$B,S2,'Tier Category Mapping'!$D:$D,"Yes")&gt;0,"Yes",""))</f>
        <v/>
      </c>
      <c r="T16">
        <f>IF(VLOOKUP($A16,'Control Groups'!$A:$D,3,FALSE)="Tier 0 – Universal","Yes",IF(COUNTIFS('Tier Category Mapping'!$A:$A,VLOOKUP($A16,'Control Groups'!$A:$D,3,FALSE),'Tier Category Mapping'!$B:$B,T2,'Tier Category Mapping'!$D:$D,"Yes")&gt;0,"Yes",""))</f>
        <v/>
      </c>
      <c r="U16">
        <f>IF(VLOOKUP($A16,'Control Groups'!$A:$D,3,FALSE)="Tier 0 – Universal","Yes",IF(COUNTIFS('Tier Category Mapping'!$A:$A,VLOOKUP($A16,'Control Groups'!$A:$D,3,FALSE),'Tier Category Mapping'!$B:$B,U2,'Tier Category Mapping'!$D:$D,"Yes")&gt;0,"Yes",""))</f>
        <v/>
      </c>
      <c r="V16">
        <f>IF(VLOOKUP($A16,'Control Groups'!$A:$D,3,FALSE)="Tier 0 – Universal","Yes",IF(COUNTIFS('Tier Category Mapping'!$A:$A,VLOOKUP($A16,'Control Groups'!$A:$D,3,FALSE),'Tier Category Mapping'!$B:$B,V2,'Tier Category Mapping'!$D:$D,"Yes")&gt;0,"Yes",""))</f>
        <v/>
      </c>
      <c r="W16">
        <f>IF(VLOOKUP($A16,'Control Groups'!$A:$D,3,FALSE)="Tier 0 – Universal","Yes",IF(COUNTIFS('Tier Category Mapping'!$A:$A,VLOOKUP($A16,'Control Groups'!$A:$D,3,FALSE),'Tier Category Mapping'!$B:$B,W2,'Tier Category Mapping'!$D:$D,"Yes")&gt;0,"Yes",""))</f>
        <v/>
      </c>
    </row>
    <row r="17">
      <c r="A17" t="inlineStr">
        <is>
          <t>PM-02</t>
        </is>
      </c>
      <c r="B17" t="inlineStr">
        <is>
          <t>Security patches prioritized</t>
        </is>
      </c>
      <c r="C17">
        <f>IF(VLOOKUP($A17,'Control Groups'!$A:$D,3,FALSE)="Tier 0 – Universal","Yes",IF(COUNTIFS('Tier Category Mapping'!$A:$A,VLOOKUP($A17,'Control Groups'!$A:$D,3,FALSE),'Tier Category Mapping'!$B:$B,C2,'Tier Category Mapping'!$D:$D,"Yes")&gt;0,"Yes",""))</f>
        <v/>
      </c>
      <c r="D17">
        <f>IF(VLOOKUP($A17,'Control Groups'!$A:$D,3,FALSE)="Tier 0 – Universal","Yes",IF(COUNTIFS('Tier Category Mapping'!$A:$A,VLOOKUP($A17,'Control Groups'!$A:$D,3,FALSE),'Tier Category Mapping'!$B:$B,D2,'Tier Category Mapping'!$D:$D,"Yes")&gt;0,"Yes",""))</f>
        <v/>
      </c>
      <c r="E17">
        <f>IF(VLOOKUP($A17,'Control Groups'!$A:$D,3,FALSE)="Tier 0 – Universal","Yes",IF(COUNTIFS('Tier Category Mapping'!$A:$A,VLOOKUP($A17,'Control Groups'!$A:$D,3,FALSE),'Tier Category Mapping'!$B:$B,E2,'Tier Category Mapping'!$D:$D,"Yes")&gt;0,"Yes",""))</f>
        <v/>
      </c>
      <c r="F17">
        <f>IF(VLOOKUP($A17,'Control Groups'!$A:$D,3,FALSE)="Tier 0 – Universal","Yes",IF(COUNTIFS('Tier Category Mapping'!$A:$A,VLOOKUP($A17,'Control Groups'!$A:$D,3,FALSE),'Tier Category Mapping'!$B:$B,F2,'Tier Category Mapping'!$D:$D,"Yes")&gt;0,"Yes",""))</f>
        <v/>
      </c>
      <c r="G17">
        <f>IF(VLOOKUP($A17,'Control Groups'!$A:$D,3,FALSE)="Tier 0 – Universal","Yes",IF(COUNTIFS('Tier Category Mapping'!$A:$A,VLOOKUP($A17,'Control Groups'!$A:$D,3,FALSE),'Tier Category Mapping'!$B:$B,G2,'Tier Category Mapping'!$D:$D,"Yes")&gt;0,"Yes",""))</f>
        <v/>
      </c>
      <c r="H17">
        <f>IF(VLOOKUP($A17,'Control Groups'!$A:$D,3,FALSE)="Tier 0 – Universal","Yes",IF(COUNTIFS('Tier Category Mapping'!$A:$A,VLOOKUP($A17,'Control Groups'!$A:$D,3,FALSE),'Tier Category Mapping'!$B:$B,H2,'Tier Category Mapping'!$D:$D,"Yes")&gt;0,"Yes",""))</f>
        <v/>
      </c>
      <c r="I17">
        <f>IF(VLOOKUP($A17,'Control Groups'!$A:$D,3,FALSE)="Tier 0 – Universal","Yes",IF(COUNTIFS('Tier Category Mapping'!$A:$A,VLOOKUP($A17,'Control Groups'!$A:$D,3,FALSE),'Tier Category Mapping'!$B:$B,I2,'Tier Category Mapping'!$D:$D,"Yes")&gt;0,"Yes",""))</f>
        <v/>
      </c>
      <c r="J17">
        <f>IF(VLOOKUP($A17,'Control Groups'!$A:$D,3,FALSE)="Tier 0 – Universal","Yes",IF(COUNTIFS('Tier Category Mapping'!$A:$A,VLOOKUP($A17,'Control Groups'!$A:$D,3,FALSE),'Tier Category Mapping'!$B:$B,J2,'Tier Category Mapping'!$D:$D,"Yes")&gt;0,"Yes",""))</f>
        <v/>
      </c>
      <c r="K17">
        <f>IF(VLOOKUP($A17,'Control Groups'!$A:$D,3,FALSE)="Tier 0 – Universal","Yes",IF(COUNTIFS('Tier Category Mapping'!$A:$A,VLOOKUP($A17,'Control Groups'!$A:$D,3,FALSE),'Tier Category Mapping'!$B:$B,K2,'Tier Category Mapping'!$D:$D,"Yes")&gt;0,"Yes",""))</f>
        <v/>
      </c>
      <c r="L17">
        <f>IF(VLOOKUP($A17,'Control Groups'!$A:$D,3,FALSE)="Tier 0 – Universal","Yes",IF(COUNTIFS('Tier Category Mapping'!$A:$A,VLOOKUP($A17,'Control Groups'!$A:$D,3,FALSE),'Tier Category Mapping'!$B:$B,L2,'Tier Category Mapping'!$D:$D,"Yes")&gt;0,"Yes",""))</f>
        <v/>
      </c>
      <c r="M17">
        <f>IF(VLOOKUP($A17,'Control Groups'!$A:$D,3,FALSE)="Tier 0 – Universal","Yes",IF(COUNTIFS('Tier Category Mapping'!$A:$A,VLOOKUP($A17,'Control Groups'!$A:$D,3,FALSE),'Tier Category Mapping'!$B:$B,M2,'Tier Category Mapping'!$D:$D,"Yes")&gt;0,"Yes",""))</f>
        <v/>
      </c>
      <c r="N17">
        <f>IF(VLOOKUP($A17,'Control Groups'!$A:$D,3,FALSE)="Tier 0 – Universal","Yes",IF(COUNTIFS('Tier Category Mapping'!$A:$A,VLOOKUP($A17,'Control Groups'!$A:$D,3,FALSE),'Tier Category Mapping'!$B:$B,N2,'Tier Category Mapping'!$D:$D,"Yes")&gt;0,"Yes",""))</f>
        <v/>
      </c>
      <c r="O17">
        <f>IF(VLOOKUP($A17,'Control Groups'!$A:$D,3,FALSE)="Tier 0 – Universal","Yes",IF(COUNTIFS('Tier Category Mapping'!$A:$A,VLOOKUP($A17,'Control Groups'!$A:$D,3,FALSE),'Tier Category Mapping'!$B:$B,O2,'Tier Category Mapping'!$D:$D,"Yes")&gt;0,"Yes",""))</f>
        <v/>
      </c>
      <c r="P17">
        <f>IF(VLOOKUP($A17,'Control Groups'!$A:$D,3,FALSE)="Tier 0 – Universal","Yes",IF(COUNTIFS('Tier Category Mapping'!$A:$A,VLOOKUP($A17,'Control Groups'!$A:$D,3,FALSE),'Tier Category Mapping'!$B:$B,P2,'Tier Category Mapping'!$D:$D,"Yes")&gt;0,"Yes",""))</f>
        <v/>
      </c>
      <c r="Q17">
        <f>IF(VLOOKUP($A17,'Control Groups'!$A:$D,3,FALSE)="Tier 0 – Universal","Yes",IF(COUNTIFS('Tier Category Mapping'!$A:$A,VLOOKUP($A17,'Control Groups'!$A:$D,3,FALSE),'Tier Category Mapping'!$B:$B,Q2,'Tier Category Mapping'!$D:$D,"Yes")&gt;0,"Yes",""))</f>
        <v/>
      </c>
      <c r="R17">
        <f>IF(VLOOKUP($A17,'Control Groups'!$A:$D,3,FALSE)="Tier 0 – Universal","Yes",IF(COUNTIFS('Tier Category Mapping'!$A:$A,VLOOKUP($A17,'Control Groups'!$A:$D,3,FALSE),'Tier Category Mapping'!$B:$B,R2,'Tier Category Mapping'!$D:$D,"Yes")&gt;0,"Yes",""))</f>
        <v/>
      </c>
      <c r="S17">
        <f>IF(VLOOKUP($A17,'Control Groups'!$A:$D,3,FALSE)="Tier 0 – Universal","Yes",IF(COUNTIFS('Tier Category Mapping'!$A:$A,VLOOKUP($A17,'Control Groups'!$A:$D,3,FALSE),'Tier Category Mapping'!$B:$B,S2,'Tier Category Mapping'!$D:$D,"Yes")&gt;0,"Yes",""))</f>
        <v/>
      </c>
      <c r="T17">
        <f>IF(VLOOKUP($A17,'Control Groups'!$A:$D,3,FALSE)="Tier 0 – Universal","Yes",IF(COUNTIFS('Tier Category Mapping'!$A:$A,VLOOKUP($A17,'Control Groups'!$A:$D,3,FALSE),'Tier Category Mapping'!$B:$B,T2,'Tier Category Mapping'!$D:$D,"Yes")&gt;0,"Yes",""))</f>
        <v/>
      </c>
      <c r="U17">
        <f>IF(VLOOKUP($A17,'Control Groups'!$A:$D,3,FALSE)="Tier 0 – Universal","Yes",IF(COUNTIFS('Tier Category Mapping'!$A:$A,VLOOKUP($A17,'Control Groups'!$A:$D,3,FALSE),'Tier Category Mapping'!$B:$B,U2,'Tier Category Mapping'!$D:$D,"Yes")&gt;0,"Yes",""))</f>
        <v/>
      </c>
      <c r="V17">
        <f>IF(VLOOKUP($A17,'Control Groups'!$A:$D,3,FALSE)="Tier 0 – Universal","Yes",IF(COUNTIFS('Tier Category Mapping'!$A:$A,VLOOKUP($A17,'Control Groups'!$A:$D,3,FALSE),'Tier Category Mapping'!$B:$B,V2,'Tier Category Mapping'!$D:$D,"Yes")&gt;0,"Yes",""))</f>
        <v/>
      </c>
      <c r="W17">
        <f>IF(VLOOKUP($A17,'Control Groups'!$A:$D,3,FALSE)="Tier 0 – Universal","Yes",IF(COUNTIFS('Tier Category Mapping'!$A:$A,VLOOKUP($A17,'Control Groups'!$A:$D,3,FALSE),'Tier Category Mapping'!$B:$B,W2,'Tier Category Mapping'!$D:$D,"Yes")&gt;0,"Yes",""))</f>
        <v/>
      </c>
    </row>
    <row r="18">
      <c r="A18" t="inlineStr">
        <is>
          <t>BK-01</t>
        </is>
      </c>
      <c r="B18" t="inlineStr">
        <is>
          <t>Backups enabled</t>
        </is>
      </c>
      <c r="C18">
        <f>IF(VLOOKUP($A18,'Control Groups'!$A:$D,3,FALSE)="Tier 0 – Universal","Yes",IF(COUNTIFS('Tier Category Mapping'!$A:$A,VLOOKUP($A18,'Control Groups'!$A:$D,3,FALSE),'Tier Category Mapping'!$B:$B,C2,'Tier Category Mapping'!$D:$D,"Yes")&gt;0,"Yes",""))</f>
        <v/>
      </c>
      <c r="D18">
        <f>IF(VLOOKUP($A18,'Control Groups'!$A:$D,3,FALSE)="Tier 0 – Universal","Yes",IF(COUNTIFS('Tier Category Mapping'!$A:$A,VLOOKUP($A18,'Control Groups'!$A:$D,3,FALSE),'Tier Category Mapping'!$B:$B,D2,'Tier Category Mapping'!$D:$D,"Yes")&gt;0,"Yes",""))</f>
        <v/>
      </c>
      <c r="E18">
        <f>IF(VLOOKUP($A18,'Control Groups'!$A:$D,3,FALSE)="Tier 0 – Universal","Yes",IF(COUNTIFS('Tier Category Mapping'!$A:$A,VLOOKUP($A18,'Control Groups'!$A:$D,3,FALSE),'Tier Category Mapping'!$B:$B,E2,'Tier Category Mapping'!$D:$D,"Yes")&gt;0,"Yes",""))</f>
        <v/>
      </c>
      <c r="F18">
        <f>IF(VLOOKUP($A18,'Control Groups'!$A:$D,3,FALSE)="Tier 0 – Universal","Yes",IF(COUNTIFS('Tier Category Mapping'!$A:$A,VLOOKUP($A18,'Control Groups'!$A:$D,3,FALSE),'Tier Category Mapping'!$B:$B,F2,'Tier Category Mapping'!$D:$D,"Yes")&gt;0,"Yes",""))</f>
        <v/>
      </c>
      <c r="G18">
        <f>IF(VLOOKUP($A18,'Control Groups'!$A:$D,3,FALSE)="Tier 0 – Universal","Yes",IF(COUNTIFS('Tier Category Mapping'!$A:$A,VLOOKUP($A18,'Control Groups'!$A:$D,3,FALSE),'Tier Category Mapping'!$B:$B,G2,'Tier Category Mapping'!$D:$D,"Yes")&gt;0,"Yes",""))</f>
        <v/>
      </c>
      <c r="H18">
        <f>IF(VLOOKUP($A18,'Control Groups'!$A:$D,3,FALSE)="Tier 0 – Universal","Yes",IF(COUNTIFS('Tier Category Mapping'!$A:$A,VLOOKUP($A18,'Control Groups'!$A:$D,3,FALSE),'Tier Category Mapping'!$B:$B,H2,'Tier Category Mapping'!$D:$D,"Yes")&gt;0,"Yes",""))</f>
        <v/>
      </c>
      <c r="I18">
        <f>IF(VLOOKUP($A18,'Control Groups'!$A:$D,3,FALSE)="Tier 0 – Universal","Yes",IF(COUNTIFS('Tier Category Mapping'!$A:$A,VLOOKUP($A18,'Control Groups'!$A:$D,3,FALSE),'Tier Category Mapping'!$B:$B,I2,'Tier Category Mapping'!$D:$D,"Yes")&gt;0,"Yes",""))</f>
        <v/>
      </c>
      <c r="J18">
        <f>IF(VLOOKUP($A18,'Control Groups'!$A:$D,3,FALSE)="Tier 0 – Universal","Yes",IF(COUNTIFS('Tier Category Mapping'!$A:$A,VLOOKUP($A18,'Control Groups'!$A:$D,3,FALSE),'Tier Category Mapping'!$B:$B,J2,'Tier Category Mapping'!$D:$D,"Yes")&gt;0,"Yes",""))</f>
        <v/>
      </c>
      <c r="K18">
        <f>IF(VLOOKUP($A18,'Control Groups'!$A:$D,3,FALSE)="Tier 0 – Universal","Yes",IF(COUNTIFS('Tier Category Mapping'!$A:$A,VLOOKUP($A18,'Control Groups'!$A:$D,3,FALSE),'Tier Category Mapping'!$B:$B,K2,'Tier Category Mapping'!$D:$D,"Yes")&gt;0,"Yes",""))</f>
        <v/>
      </c>
      <c r="L18">
        <f>IF(VLOOKUP($A18,'Control Groups'!$A:$D,3,FALSE)="Tier 0 – Universal","Yes",IF(COUNTIFS('Tier Category Mapping'!$A:$A,VLOOKUP($A18,'Control Groups'!$A:$D,3,FALSE),'Tier Category Mapping'!$B:$B,L2,'Tier Category Mapping'!$D:$D,"Yes")&gt;0,"Yes",""))</f>
        <v/>
      </c>
      <c r="M18">
        <f>IF(VLOOKUP($A18,'Control Groups'!$A:$D,3,FALSE)="Tier 0 – Universal","Yes",IF(COUNTIFS('Tier Category Mapping'!$A:$A,VLOOKUP($A18,'Control Groups'!$A:$D,3,FALSE),'Tier Category Mapping'!$B:$B,M2,'Tier Category Mapping'!$D:$D,"Yes")&gt;0,"Yes",""))</f>
        <v/>
      </c>
      <c r="N18">
        <f>IF(VLOOKUP($A18,'Control Groups'!$A:$D,3,FALSE)="Tier 0 – Universal","Yes",IF(COUNTIFS('Tier Category Mapping'!$A:$A,VLOOKUP($A18,'Control Groups'!$A:$D,3,FALSE),'Tier Category Mapping'!$B:$B,N2,'Tier Category Mapping'!$D:$D,"Yes")&gt;0,"Yes",""))</f>
        <v/>
      </c>
      <c r="O18">
        <f>IF(VLOOKUP($A18,'Control Groups'!$A:$D,3,FALSE)="Tier 0 – Universal","Yes",IF(COUNTIFS('Tier Category Mapping'!$A:$A,VLOOKUP($A18,'Control Groups'!$A:$D,3,FALSE),'Tier Category Mapping'!$B:$B,O2,'Tier Category Mapping'!$D:$D,"Yes")&gt;0,"Yes",""))</f>
        <v/>
      </c>
      <c r="P18">
        <f>IF(VLOOKUP($A18,'Control Groups'!$A:$D,3,FALSE)="Tier 0 – Universal","Yes",IF(COUNTIFS('Tier Category Mapping'!$A:$A,VLOOKUP($A18,'Control Groups'!$A:$D,3,FALSE),'Tier Category Mapping'!$B:$B,P2,'Tier Category Mapping'!$D:$D,"Yes")&gt;0,"Yes",""))</f>
        <v/>
      </c>
      <c r="Q18">
        <f>IF(VLOOKUP($A18,'Control Groups'!$A:$D,3,FALSE)="Tier 0 – Universal","Yes",IF(COUNTIFS('Tier Category Mapping'!$A:$A,VLOOKUP($A18,'Control Groups'!$A:$D,3,FALSE),'Tier Category Mapping'!$B:$B,Q2,'Tier Category Mapping'!$D:$D,"Yes")&gt;0,"Yes",""))</f>
        <v/>
      </c>
      <c r="R18">
        <f>IF(VLOOKUP($A18,'Control Groups'!$A:$D,3,FALSE)="Tier 0 – Universal","Yes",IF(COUNTIFS('Tier Category Mapping'!$A:$A,VLOOKUP($A18,'Control Groups'!$A:$D,3,FALSE),'Tier Category Mapping'!$B:$B,R2,'Tier Category Mapping'!$D:$D,"Yes")&gt;0,"Yes",""))</f>
        <v/>
      </c>
      <c r="S18">
        <f>IF(VLOOKUP($A18,'Control Groups'!$A:$D,3,FALSE)="Tier 0 – Universal","Yes",IF(COUNTIFS('Tier Category Mapping'!$A:$A,VLOOKUP($A18,'Control Groups'!$A:$D,3,FALSE),'Tier Category Mapping'!$B:$B,S2,'Tier Category Mapping'!$D:$D,"Yes")&gt;0,"Yes",""))</f>
        <v/>
      </c>
      <c r="T18">
        <f>IF(VLOOKUP($A18,'Control Groups'!$A:$D,3,FALSE)="Tier 0 – Universal","Yes",IF(COUNTIFS('Tier Category Mapping'!$A:$A,VLOOKUP($A18,'Control Groups'!$A:$D,3,FALSE),'Tier Category Mapping'!$B:$B,T2,'Tier Category Mapping'!$D:$D,"Yes")&gt;0,"Yes",""))</f>
        <v/>
      </c>
      <c r="U18">
        <f>IF(VLOOKUP($A18,'Control Groups'!$A:$D,3,FALSE)="Tier 0 – Universal","Yes",IF(COUNTIFS('Tier Category Mapping'!$A:$A,VLOOKUP($A18,'Control Groups'!$A:$D,3,FALSE),'Tier Category Mapping'!$B:$B,U2,'Tier Category Mapping'!$D:$D,"Yes")&gt;0,"Yes",""))</f>
        <v/>
      </c>
      <c r="V18">
        <f>IF(VLOOKUP($A18,'Control Groups'!$A:$D,3,FALSE)="Tier 0 – Universal","Yes",IF(COUNTIFS('Tier Category Mapping'!$A:$A,VLOOKUP($A18,'Control Groups'!$A:$D,3,FALSE),'Tier Category Mapping'!$B:$B,V2,'Tier Category Mapping'!$D:$D,"Yes")&gt;0,"Yes",""))</f>
        <v/>
      </c>
      <c r="W18">
        <f>IF(VLOOKUP($A18,'Control Groups'!$A:$D,3,FALSE)="Tier 0 – Universal","Yes",IF(COUNTIFS('Tier Category Mapping'!$A:$A,VLOOKUP($A18,'Control Groups'!$A:$D,3,FALSE),'Tier Category Mapping'!$B:$B,W2,'Tier Category Mapping'!$D:$D,"Yes")&gt;0,"Yes",""))</f>
        <v/>
      </c>
    </row>
    <row r="19">
      <c r="A19" t="inlineStr">
        <is>
          <t>BK-02</t>
        </is>
      </c>
      <c r="B19" t="inlineStr">
        <is>
          <t>Backups tested periodically</t>
        </is>
      </c>
      <c r="C19">
        <f>IF(VLOOKUP($A19,'Control Groups'!$A:$D,3,FALSE)="Tier 0 – Universal","Yes",IF(COUNTIFS('Tier Category Mapping'!$A:$A,VLOOKUP($A19,'Control Groups'!$A:$D,3,FALSE),'Tier Category Mapping'!$B:$B,C2,'Tier Category Mapping'!$D:$D,"Yes")&gt;0,"Yes",""))</f>
        <v/>
      </c>
      <c r="D19">
        <f>IF(VLOOKUP($A19,'Control Groups'!$A:$D,3,FALSE)="Tier 0 – Universal","Yes",IF(COUNTIFS('Tier Category Mapping'!$A:$A,VLOOKUP($A19,'Control Groups'!$A:$D,3,FALSE),'Tier Category Mapping'!$B:$B,D2,'Tier Category Mapping'!$D:$D,"Yes")&gt;0,"Yes",""))</f>
        <v/>
      </c>
      <c r="E19">
        <f>IF(VLOOKUP($A19,'Control Groups'!$A:$D,3,FALSE)="Tier 0 – Universal","Yes",IF(COUNTIFS('Tier Category Mapping'!$A:$A,VLOOKUP($A19,'Control Groups'!$A:$D,3,FALSE),'Tier Category Mapping'!$B:$B,E2,'Tier Category Mapping'!$D:$D,"Yes")&gt;0,"Yes",""))</f>
        <v/>
      </c>
      <c r="F19">
        <f>IF(VLOOKUP($A19,'Control Groups'!$A:$D,3,FALSE)="Tier 0 – Universal","Yes",IF(COUNTIFS('Tier Category Mapping'!$A:$A,VLOOKUP($A19,'Control Groups'!$A:$D,3,FALSE),'Tier Category Mapping'!$B:$B,F2,'Tier Category Mapping'!$D:$D,"Yes")&gt;0,"Yes",""))</f>
        <v/>
      </c>
      <c r="G19">
        <f>IF(VLOOKUP($A19,'Control Groups'!$A:$D,3,FALSE)="Tier 0 – Universal","Yes",IF(COUNTIFS('Tier Category Mapping'!$A:$A,VLOOKUP($A19,'Control Groups'!$A:$D,3,FALSE),'Tier Category Mapping'!$B:$B,G2,'Tier Category Mapping'!$D:$D,"Yes")&gt;0,"Yes",""))</f>
        <v/>
      </c>
      <c r="H19">
        <f>IF(VLOOKUP($A19,'Control Groups'!$A:$D,3,FALSE)="Tier 0 – Universal","Yes",IF(COUNTIFS('Tier Category Mapping'!$A:$A,VLOOKUP($A19,'Control Groups'!$A:$D,3,FALSE),'Tier Category Mapping'!$B:$B,H2,'Tier Category Mapping'!$D:$D,"Yes")&gt;0,"Yes",""))</f>
        <v/>
      </c>
      <c r="I19">
        <f>IF(VLOOKUP($A19,'Control Groups'!$A:$D,3,FALSE)="Tier 0 – Universal","Yes",IF(COUNTIFS('Tier Category Mapping'!$A:$A,VLOOKUP($A19,'Control Groups'!$A:$D,3,FALSE),'Tier Category Mapping'!$B:$B,I2,'Tier Category Mapping'!$D:$D,"Yes")&gt;0,"Yes",""))</f>
        <v/>
      </c>
      <c r="J19">
        <f>IF(VLOOKUP($A19,'Control Groups'!$A:$D,3,FALSE)="Tier 0 – Universal","Yes",IF(COUNTIFS('Tier Category Mapping'!$A:$A,VLOOKUP($A19,'Control Groups'!$A:$D,3,FALSE),'Tier Category Mapping'!$B:$B,J2,'Tier Category Mapping'!$D:$D,"Yes")&gt;0,"Yes",""))</f>
        <v/>
      </c>
      <c r="K19">
        <f>IF(VLOOKUP($A19,'Control Groups'!$A:$D,3,FALSE)="Tier 0 – Universal","Yes",IF(COUNTIFS('Tier Category Mapping'!$A:$A,VLOOKUP($A19,'Control Groups'!$A:$D,3,FALSE),'Tier Category Mapping'!$B:$B,K2,'Tier Category Mapping'!$D:$D,"Yes")&gt;0,"Yes",""))</f>
        <v/>
      </c>
      <c r="L19">
        <f>IF(VLOOKUP($A19,'Control Groups'!$A:$D,3,FALSE)="Tier 0 – Universal","Yes",IF(COUNTIFS('Tier Category Mapping'!$A:$A,VLOOKUP($A19,'Control Groups'!$A:$D,3,FALSE),'Tier Category Mapping'!$B:$B,L2,'Tier Category Mapping'!$D:$D,"Yes")&gt;0,"Yes",""))</f>
        <v/>
      </c>
      <c r="M19">
        <f>IF(VLOOKUP($A19,'Control Groups'!$A:$D,3,FALSE)="Tier 0 – Universal","Yes",IF(COUNTIFS('Tier Category Mapping'!$A:$A,VLOOKUP($A19,'Control Groups'!$A:$D,3,FALSE),'Tier Category Mapping'!$B:$B,M2,'Tier Category Mapping'!$D:$D,"Yes")&gt;0,"Yes",""))</f>
        <v/>
      </c>
      <c r="N19">
        <f>IF(VLOOKUP($A19,'Control Groups'!$A:$D,3,FALSE)="Tier 0 – Universal","Yes",IF(COUNTIFS('Tier Category Mapping'!$A:$A,VLOOKUP($A19,'Control Groups'!$A:$D,3,FALSE),'Tier Category Mapping'!$B:$B,N2,'Tier Category Mapping'!$D:$D,"Yes")&gt;0,"Yes",""))</f>
        <v/>
      </c>
      <c r="O19">
        <f>IF(VLOOKUP($A19,'Control Groups'!$A:$D,3,FALSE)="Tier 0 – Universal","Yes",IF(COUNTIFS('Tier Category Mapping'!$A:$A,VLOOKUP($A19,'Control Groups'!$A:$D,3,FALSE),'Tier Category Mapping'!$B:$B,O2,'Tier Category Mapping'!$D:$D,"Yes")&gt;0,"Yes",""))</f>
        <v/>
      </c>
      <c r="P19">
        <f>IF(VLOOKUP($A19,'Control Groups'!$A:$D,3,FALSE)="Tier 0 – Universal","Yes",IF(COUNTIFS('Tier Category Mapping'!$A:$A,VLOOKUP($A19,'Control Groups'!$A:$D,3,FALSE),'Tier Category Mapping'!$B:$B,P2,'Tier Category Mapping'!$D:$D,"Yes")&gt;0,"Yes",""))</f>
        <v/>
      </c>
      <c r="Q19">
        <f>IF(VLOOKUP($A19,'Control Groups'!$A:$D,3,FALSE)="Tier 0 – Universal","Yes",IF(COUNTIFS('Tier Category Mapping'!$A:$A,VLOOKUP($A19,'Control Groups'!$A:$D,3,FALSE),'Tier Category Mapping'!$B:$B,Q2,'Tier Category Mapping'!$D:$D,"Yes")&gt;0,"Yes",""))</f>
        <v/>
      </c>
      <c r="R19">
        <f>IF(VLOOKUP($A19,'Control Groups'!$A:$D,3,FALSE)="Tier 0 – Universal","Yes",IF(COUNTIFS('Tier Category Mapping'!$A:$A,VLOOKUP($A19,'Control Groups'!$A:$D,3,FALSE),'Tier Category Mapping'!$B:$B,R2,'Tier Category Mapping'!$D:$D,"Yes")&gt;0,"Yes",""))</f>
        <v/>
      </c>
      <c r="S19">
        <f>IF(VLOOKUP($A19,'Control Groups'!$A:$D,3,FALSE)="Tier 0 – Universal","Yes",IF(COUNTIFS('Tier Category Mapping'!$A:$A,VLOOKUP($A19,'Control Groups'!$A:$D,3,FALSE),'Tier Category Mapping'!$B:$B,S2,'Tier Category Mapping'!$D:$D,"Yes")&gt;0,"Yes",""))</f>
        <v/>
      </c>
      <c r="T19">
        <f>IF(VLOOKUP($A19,'Control Groups'!$A:$D,3,FALSE)="Tier 0 – Universal","Yes",IF(COUNTIFS('Tier Category Mapping'!$A:$A,VLOOKUP($A19,'Control Groups'!$A:$D,3,FALSE),'Tier Category Mapping'!$B:$B,T2,'Tier Category Mapping'!$D:$D,"Yes")&gt;0,"Yes",""))</f>
        <v/>
      </c>
      <c r="U19">
        <f>IF(VLOOKUP($A19,'Control Groups'!$A:$D,3,FALSE)="Tier 0 – Universal","Yes",IF(COUNTIFS('Tier Category Mapping'!$A:$A,VLOOKUP($A19,'Control Groups'!$A:$D,3,FALSE),'Tier Category Mapping'!$B:$B,U2,'Tier Category Mapping'!$D:$D,"Yes")&gt;0,"Yes",""))</f>
        <v/>
      </c>
      <c r="V19">
        <f>IF(VLOOKUP($A19,'Control Groups'!$A:$D,3,FALSE)="Tier 0 – Universal","Yes",IF(COUNTIFS('Tier Category Mapping'!$A:$A,VLOOKUP($A19,'Control Groups'!$A:$D,3,FALSE),'Tier Category Mapping'!$B:$B,V2,'Tier Category Mapping'!$D:$D,"Yes")&gt;0,"Yes",""))</f>
        <v/>
      </c>
      <c r="W19">
        <f>IF(VLOOKUP($A19,'Control Groups'!$A:$D,3,FALSE)="Tier 0 – Universal","Yes",IF(COUNTIFS('Tier Category Mapping'!$A:$A,VLOOKUP($A19,'Control Groups'!$A:$D,3,FALSE),'Tier Category Mapping'!$B:$B,W2,'Tier Category Mapping'!$D:$D,"Yes")&gt;0,"Yes",""))</f>
        <v/>
      </c>
    </row>
    <row r="20">
      <c r="A20" t="inlineStr">
        <is>
          <t>SOP-01</t>
        </is>
      </c>
      <c r="B20" t="inlineStr">
        <is>
          <t>Registered in Source of Truth</t>
        </is>
      </c>
      <c r="C20">
        <f>IF(VLOOKUP($A20,'Control Groups'!$A:$D,3,FALSE)="Tier 0 – Universal","Yes",IF(COUNTIFS('Tier Category Mapping'!$A:$A,VLOOKUP($A20,'Control Groups'!$A:$D,3,FALSE),'Tier Category Mapping'!$B:$B,C2,'Tier Category Mapping'!$D:$D,"Yes")&gt;0,"Yes",""))</f>
        <v/>
      </c>
      <c r="D20">
        <f>IF(VLOOKUP($A20,'Control Groups'!$A:$D,3,FALSE)="Tier 0 – Universal","Yes",IF(COUNTIFS('Tier Category Mapping'!$A:$A,VLOOKUP($A20,'Control Groups'!$A:$D,3,FALSE),'Tier Category Mapping'!$B:$B,D2,'Tier Category Mapping'!$D:$D,"Yes")&gt;0,"Yes",""))</f>
        <v/>
      </c>
      <c r="E20">
        <f>IF(VLOOKUP($A20,'Control Groups'!$A:$D,3,FALSE)="Tier 0 – Universal","Yes",IF(COUNTIFS('Tier Category Mapping'!$A:$A,VLOOKUP($A20,'Control Groups'!$A:$D,3,FALSE),'Tier Category Mapping'!$B:$B,E2,'Tier Category Mapping'!$D:$D,"Yes")&gt;0,"Yes",""))</f>
        <v/>
      </c>
      <c r="F20">
        <f>IF(VLOOKUP($A20,'Control Groups'!$A:$D,3,FALSE)="Tier 0 – Universal","Yes",IF(COUNTIFS('Tier Category Mapping'!$A:$A,VLOOKUP($A20,'Control Groups'!$A:$D,3,FALSE),'Tier Category Mapping'!$B:$B,F2,'Tier Category Mapping'!$D:$D,"Yes")&gt;0,"Yes",""))</f>
        <v/>
      </c>
      <c r="G20">
        <f>IF(VLOOKUP($A20,'Control Groups'!$A:$D,3,FALSE)="Tier 0 – Universal","Yes",IF(COUNTIFS('Tier Category Mapping'!$A:$A,VLOOKUP($A20,'Control Groups'!$A:$D,3,FALSE),'Tier Category Mapping'!$B:$B,G2,'Tier Category Mapping'!$D:$D,"Yes")&gt;0,"Yes",""))</f>
        <v/>
      </c>
      <c r="H20">
        <f>IF(VLOOKUP($A20,'Control Groups'!$A:$D,3,FALSE)="Tier 0 – Universal","Yes",IF(COUNTIFS('Tier Category Mapping'!$A:$A,VLOOKUP($A20,'Control Groups'!$A:$D,3,FALSE),'Tier Category Mapping'!$B:$B,H2,'Tier Category Mapping'!$D:$D,"Yes")&gt;0,"Yes",""))</f>
        <v/>
      </c>
      <c r="I20">
        <f>IF(VLOOKUP($A20,'Control Groups'!$A:$D,3,FALSE)="Tier 0 – Universal","Yes",IF(COUNTIFS('Tier Category Mapping'!$A:$A,VLOOKUP($A20,'Control Groups'!$A:$D,3,FALSE),'Tier Category Mapping'!$B:$B,I2,'Tier Category Mapping'!$D:$D,"Yes")&gt;0,"Yes",""))</f>
        <v/>
      </c>
      <c r="J20">
        <f>IF(VLOOKUP($A20,'Control Groups'!$A:$D,3,FALSE)="Tier 0 – Universal","Yes",IF(COUNTIFS('Tier Category Mapping'!$A:$A,VLOOKUP($A20,'Control Groups'!$A:$D,3,FALSE),'Tier Category Mapping'!$B:$B,J2,'Tier Category Mapping'!$D:$D,"Yes")&gt;0,"Yes",""))</f>
        <v/>
      </c>
      <c r="K20">
        <f>IF(VLOOKUP($A20,'Control Groups'!$A:$D,3,FALSE)="Tier 0 – Universal","Yes",IF(COUNTIFS('Tier Category Mapping'!$A:$A,VLOOKUP($A20,'Control Groups'!$A:$D,3,FALSE),'Tier Category Mapping'!$B:$B,K2,'Tier Category Mapping'!$D:$D,"Yes")&gt;0,"Yes",""))</f>
        <v/>
      </c>
      <c r="L20">
        <f>IF(VLOOKUP($A20,'Control Groups'!$A:$D,3,FALSE)="Tier 0 – Universal","Yes",IF(COUNTIFS('Tier Category Mapping'!$A:$A,VLOOKUP($A20,'Control Groups'!$A:$D,3,FALSE),'Tier Category Mapping'!$B:$B,L2,'Tier Category Mapping'!$D:$D,"Yes")&gt;0,"Yes",""))</f>
        <v/>
      </c>
      <c r="M20">
        <f>IF(VLOOKUP($A20,'Control Groups'!$A:$D,3,FALSE)="Tier 0 – Universal","Yes",IF(COUNTIFS('Tier Category Mapping'!$A:$A,VLOOKUP($A20,'Control Groups'!$A:$D,3,FALSE),'Tier Category Mapping'!$B:$B,M2,'Tier Category Mapping'!$D:$D,"Yes")&gt;0,"Yes",""))</f>
        <v/>
      </c>
      <c r="N20">
        <f>IF(VLOOKUP($A20,'Control Groups'!$A:$D,3,FALSE)="Tier 0 – Universal","Yes",IF(COUNTIFS('Tier Category Mapping'!$A:$A,VLOOKUP($A20,'Control Groups'!$A:$D,3,FALSE),'Tier Category Mapping'!$B:$B,N2,'Tier Category Mapping'!$D:$D,"Yes")&gt;0,"Yes",""))</f>
        <v/>
      </c>
      <c r="O20">
        <f>IF(VLOOKUP($A20,'Control Groups'!$A:$D,3,FALSE)="Tier 0 – Universal","Yes",IF(COUNTIFS('Tier Category Mapping'!$A:$A,VLOOKUP($A20,'Control Groups'!$A:$D,3,FALSE),'Tier Category Mapping'!$B:$B,O2,'Tier Category Mapping'!$D:$D,"Yes")&gt;0,"Yes",""))</f>
        <v/>
      </c>
      <c r="P20">
        <f>IF(VLOOKUP($A20,'Control Groups'!$A:$D,3,FALSE)="Tier 0 – Universal","Yes",IF(COUNTIFS('Tier Category Mapping'!$A:$A,VLOOKUP($A20,'Control Groups'!$A:$D,3,FALSE),'Tier Category Mapping'!$B:$B,P2,'Tier Category Mapping'!$D:$D,"Yes")&gt;0,"Yes",""))</f>
        <v/>
      </c>
      <c r="Q20">
        <f>IF(VLOOKUP($A20,'Control Groups'!$A:$D,3,FALSE)="Tier 0 – Universal","Yes",IF(COUNTIFS('Tier Category Mapping'!$A:$A,VLOOKUP($A20,'Control Groups'!$A:$D,3,FALSE),'Tier Category Mapping'!$B:$B,Q2,'Tier Category Mapping'!$D:$D,"Yes")&gt;0,"Yes",""))</f>
        <v/>
      </c>
      <c r="R20">
        <f>IF(VLOOKUP($A20,'Control Groups'!$A:$D,3,FALSE)="Tier 0 – Universal","Yes",IF(COUNTIFS('Tier Category Mapping'!$A:$A,VLOOKUP($A20,'Control Groups'!$A:$D,3,FALSE),'Tier Category Mapping'!$B:$B,R2,'Tier Category Mapping'!$D:$D,"Yes")&gt;0,"Yes",""))</f>
        <v/>
      </c>
      <c r="S20">
        <f>IF(VLOOKUP($A20,'Control Groups'!$A:$D,3,FALSE)="Tier 0 – Universal","Yes",IF(COUNTIFS('Tier Category Mapping'!$A:$A,VLOOKUP($A20,'Control Groups'!$A:$D,3,FALSE),'Tier Category Mapping'!$B:$B,S2,'Tier Category Mapping'!$D:$D,"Yes")&gt;0,"Yes",""))</f>
        <v/>
      </c>
      <c r="T20">
        <f>IF(VLOOKUP($A20,'Control Groups'!$A:$D,3,FALSE)="Tier 0 – Universal","Yes",IF(COUNTIFS('Tier Category Mapping'!$A:$A,VLOOKUP($A20,'Control Groups'!$A:$D,3,FALSE),'Tier Category Mapping'!$B:$B,T2,'Tier Category Mapping'!$D:$D,"Yes")&gt;0,"Yes",""))</f>
        <v/>
      </c>
      <c r="U20">
        <f>IF(VLOOKUP($A20,'Control Groups'!$A:$D,3,FALSE)="Tier 0 – Universal","Yes",IF(COUNTIFS('Tier Category Mapping'!$A:$A,VLOOKUP($A20,'Control Groups'!$A:$D,3,FALSE),'Tier Category Mapping'!$B:$B,U2,'Tier Category Mapping'!$D:$D,"Yes")&gt;0,"Yes",""))</f>
        <v/>
      </c>
      <c r="V20">
        <f>IF(VLOOKUP($A20,'Control Groups'!$A:$D,3,FALSE)="Tier 0 – Universal","Yes",IF(COUNTIFS('Tier Category Mapping'!$A:$A,VLOOKUP($A20,'Control Groups'!$A:$D,3,FALSE),'Tier Category Mapping'!$B:$B,V2,'Tier Category Mapping'!$D:$D,"Yes")&gt;0,"Yes",""))</f>
        <v/>
      </c>
      <c r="W20">
        <f>IF(VLOOKUP($A20,'Control Groups'!$A:$D,3,FALSE)="Tier 0 – Universal","Yes",IF(COUNTIFS('Tier Category Mapping'!$A:$A,VLOOKUP($A20,'Control Groups'!$A:$D,3,FALSE),'Tier Category Mapping'!$B:$B,W2,'Tier Category Mapping'!$D:$D,"Yes")&gt;0,"Yes",""))</f>
        <v/>
      </c>
    </row>
    <row r="21">
      <c r="A21" t="inlineStr">
        <is>
          <t>SOP-02</t>
        </is>
      </c>
      <c r="B21" t="inlineStr">
        <is>
          <t>Owner and environment assigned</t>
        </is>
      </c>
      <c r="C21">
        <f>IF(VLOOKUP($A21,'Control Groups'!$A:$D,3,FALSE)="Tier 0 – Universal","Yes",IF(COUNTIFS('Tier Category Mapping'!$A:$A,VLOOKUP($A21,'Control Groups'!$A:$D,3,FALSE),'Tier Category Mapping'!$B:$B,C2,'Tier Category Mapping'!$D:$D,"Yes")&gt;0,"Yes",""))</f>
        <v/>
      </c>
      <c r="D21">
        <f>IF(VLOOKUP($A21,'Control Groups'!$A:$D,3,FALSE)="Tier 0 – Universal","Yes",IF(COUNTIFS('Tier Category Mapping'!$A:$A,VLOOKUP($A21,'Control Groups'!$A:$D,3,FALSE),'Tier Category Mapping'!$B:$B,D2,'Tier Category Mapping'!$D:$D,"Yes")&gt;0,"Yes",""))</f>
        <v/>
      </c>
      <c r="E21">
        <f>IF(VLOOKUP($A21,'Control Groups'!$A:$D,3,FALSE)="Tier 0 – Universal","Yes",IF(COUNTIFS('Tier Category Mapping'!$A:$A,VLOOKUP($A21,'Control Groups'!$A:$D,3,FALSE),'Tier Category Mapping'!$B:$B,E2,'Tier Category Mapping'!$D:$D,"Yes")&gt;0,"Yes",""))</f>
        <v/>
      </c>
      <c r="F21">
        <f>IF(VLOOKUP($A21,'Control Groups'!$A:$D,3,FALSE)="Tier 0 – Universal","Yes",IF(COUNTIFS('Tier Category Mapping'!$A:$A,VLOOKUP($A21,'Control Groups'!$A:$D,3,FALSE),'Tier Category Mapping'!$B:$B,F2,'Tier Category Mapping'!$D:$D,"Yes")&gt;0,"Yes",""))</f>
        <v/>
      </c>
      <c r="G21">
        <f>IF(VLOOKUP($A21,'Control Groups'!$A:$D,3,FALSE)="Tier 0 – Universal","Yes",IF(COUNTIFS('Tier Category Mapping'!$A:$A,VLOOKUP($A21,'Control Groups'!$A:$D,3,FALSE),'Tier Category Mapping'!$B:$B,G2,'Tier Category Mapping'!$D:$D,"Yes")&gt;0,"Yes",""))</f>
        <v/>
      </c>
      <c r="H21">
        <f>IF(VLOOKUP($A21,'Control Groups'!$A:$D,3,FALSE)="Tier 0 – Universal","Yes",IF(COUNTIFS('Tier Category Mapping'!$A:$A,VLOOKUP($A21,'Control Groups'!$A:$D,3,FALSE),'Tier Category Mapping'!$B:$B,H2,'Tier Category Mapping'!$D:$D,"Yes")&gt;0,"Yes",""))</f>
        <v/>
      </c>
      <c r="I21">
        <f>IF(VLOOKUP($A21,'Control Groups'!$A:$D,3,FALSE)="Tier 0 – Universal","Yes",IF(COUNTIFS('Tier Category Mapping'!$A:$A,VLOOKUP($A21,'Control Groups'!$A:$D,3,FALSE),'Tier Category Mapping'!$B:$B,I2,'Tier Category Mapping'!$D:$D,"Yes")&gt;0,"Yes",""))</f>
        <v/>
      </c>
      <c r="J21">
        <f>IF(VLOOKUP($A21,'Control Groups'!$A:$D,3,FALSE)="Tier 0 – Universal","Yes",IF(COUNTIFS('Tier Category Mapping'!$A:$A,VLOOKUP($A21,'Control Groups'!$A:$D,3,FALSE),'Tier Category Mapping'!$B:$B,J2,'Tier Category Mapping'!$D:$D,"Yes")&gt;0,"Yes",""))</f>
        <v/>
      </c>
      <c r="K21">
        <f>IF(VLOOKUP($A21,'Control Groups'!$A:$D,3,FALSE)="Tier 0 – Universal","Yes",IF(COUNTIFS('Tier Category Mapping'!$A:$A,VLOOKUP($A21,'Control Groups'!$A:$D,3,FALSE),'Tier Category Mapping'!$B:$B,K2,'Tier Category Mapping'!$D:$D,"Yes")&gt;0,"Yes",""))</f>
        <v/>
      </c>
      <c r="L21">
        <f>IF(VLOOKUP($A21,'Control Groups'!$A:$D,3,FALSE)="Tier 0 – Universal","Yes",IF(COUNTIFS('Tier Category Mapping'!$A:$A,VLOOKUP($A21,'Control Groups'!$A:$D,3,FALSE),'Tier Category Mapping'!$B:$B,L2,'Tier Category Mapping'!$D:$D,"Yes")&gt;0,"Yes",""))</f>
        <v/>
      </c>
      <c r="M21">
        <f>IF(VLOOKUP($A21,'Control Groups'!$A:$D,3,FALSE)="Tier 0 – Universal","Yes",IF(COUNTIFS('Tier Category Mapping'!$A:$A,VLOOKUP($A21,'Control Groups'!$A:$D,3,FALSE),'Tier Category Mapping'!$B:$B,M2,'Tier Category Mapping'!$D:$D,"Yes")&gt;0,"Yes",""))</f>
        <v/>
      </c>
      <c r="N21">
        <f>IF(VLOOKUP($A21,'Control Groups'!$A:$D,3,FALSE)="Tier 0 – Universal","Yes",IF(COUNTIFS('Tier Category Mapping'!$A:$A,VLOOKUP($A21,'Control Groups'!$A:$D,3,FALSE),'Tier Category Mapping'!$B:$B,N2,'Tier Category Mapping'!$D:$D,"Yes")&gt;0,"Yes",""))</f>
        <v/>
      </c>
      <c r="O21">
        <f>IF(VLOOKUP($A21,'Control Groups'!$A:$D,3,FALSE)="Tier 0 – Universal","Yes",IF(COUNTIFS('Tier Category Mapping'!$A:$A,VLOOKUP($A21,'Control Groups'!$A:$D,3,FALSE),'Tier Category Mapping'!$B:$B,O2,'Tier Category Mapping'!$D:$D,"Yes")&gt;0,"Yes",""))</f>
        <v/>
      </c>
      <c r="P21">
        <f>IF(VLOOKUP($A21,'Control Groups'!$A:$D,3,FALSE)="Tier 0 – Universal","Yes",IF(COUNTIFS('Tier Category Mapping'!$A:$A,VLOOKUP($A21,'Control Groups'!$A:$D,3,FALSE),'Tier Category Mapping'!$B:$B,P2,'Tier Category Mapping'!$D:$D,"Yes")&gt;0,"Yes",""))</f>
        <v/>
      </c>
      <c r="Q21">
        <f>IF(VLOOKUP($A21,'Control Groups'!$A:$D,3,FALSE)="Tier 0 – Universal","Yes",IF(COUNTIFS('Tier Category Mapping'!$A:$A,VLOOKUP($A21,'Control Groups'!$A:$D,3,FALSE),'Tier Category Mapping'!$B:$B,Q2,'Tier Category Mapping'!$D:$D,"Yes")&gt;0,"Yes",""))</f>
        <v/>
      </c>
      <c r="R21">
        <f>IF(VLOOKUP($A21,'Control Groups'!$A:$D,3,FALSE)="Tier 0 – Universal","Yes",IF(COUNTIFS('Tier Category Mapping'!$A:$A,VLOOKUP($A21,'Control Groups'!$A:$D,3,FALSE),'Tier Category Mapping'!$B:$B,R2,'Tier Category Mapping'!$D:$D,"Yes")&gt;0,"Yes",""))</f>
        <v/>
      </c>
      <c r="S21">
        <f>IF(VLOOKUP($A21,'Control Groups'!$A:$D,3,FALSE)="Tier 0 – Universal","Yes",IF(COUNTIFS('Tier Category Mapping'!$A:$A,VLOOKUP($A21,'Control Groups'!$A:$D,3,FALSE),'Tier Category Mapping'!$B:$B,S2,'Tier Category Mapping'!$D:$D,"Yes")&gt;0,"Yes",""))</f>
        <v/>
      </c>
      <c r="T21">
        <f>IF(VLOOKUP($A21,'Control Groups'!$A:$D,3,FALSE)="Tier 0 – Universal","Yes",IF(COUNTIFS('Tier Category Mapping'!$A:$A,VLOOKUP($A21,'Control Groups'!$A:$D,3,FALSE),'Tier Category Mapping'!$B:$B,T2,'Tier Category Mapping'!$D:$D,"Yes")&gt;0,"Yes",""))</f>
        <v/>
      </c>
      <c r="U21">
        <f>IF(VLOOKUP($A21,'Control Groups'!$A:$D,3,FALSE)="Tier 0 – Universal","Yes",IF(COUNTIFS('Tier Category Mapping'!$A:$A,VLOOKUP($A21,'Control Groups'!$A:$D,3,FALSE),'Tier Category Mapping'!$B:$B,U2,'Tier Category Mapping'!$D:$D,"Yes")&gt;0,"Yes",""))</f>
        <v/>
      </c>
      <c r="V21">
        <f>IF(VLOOKUP($A21,'Control Groups'!$A:$D,3,FALSE)="Tier 0 – Universal","Yes",IF(COUNTIFS('Tier Category Mapping'!$A:$A,VLOOKUP($A21,'Control Groups'!$A:$D,3,FALSE),'Tier Category Mapping'!$B:$B,V2,'Tier Category Mapping'!$D:$D,"Yes")&gt;0,"Yes",""))</f>
        <v/>
      </c>
      <c r="W21">
        <f>IF(VLOOKUP($A21,'Control Groups'!$A:$D,3,FALSE)="Tier 0 – Universal","Yes",IF(COUNTIFS('Tier Category Mapping'!$A:$A,VLOOKUP($A21,'Control Groups'!$A:$D,3,FALSE),'Tier Category Mapping'!$B:$B,W2,'Tier Category Mapping'!$D:$D,"Yes")&gt;0,"Yes",""))</f>
        <v/>
      </c>
    </row>
    <row r="22">
      <c r="A22" t="inlineStr">
        <is>
          <t>SOP-03</t>
        </is>
      </c>
      <c r="B22" t="inlineStr">
        <is>
          <t>Secure baseline applied during build</t>
        </is>
      </c>
      <c r="C22">
        <f>IF(VLOOKUP($A22,'Control Groups'!$A:$D,3,FALSE)="Tier 0 – Universal","Yes",IF(COUNTIFS('Tier Category Mapping'!$A:$A,VLOOKUP($A22,'Control Groups'!$A:$D,3,FALSE),'Tier Category Mapping'!$B:$B,C2,'Tier Category Mapping'!$D:$D,"Yes")&gt;0,"Yes",""))</f>
        <v/>
      </c>
      <c r="D22">
        <f>IF(VLOOKUP($A22,'Control Groups'!$A:$D,3,FALSE)="Tier 0 – Universal","Yes",IF(COUNTIFS('Tier Category Mapping'!$A:$A,VLOOKUP($A22,'Control Groups'!$A:$D,3,FALSE),'Tier Category Mapping'!$B:$B,D2,'Tier Category Mapping'!$D:$D,"Yes")&gt;0,"Yes",""))</f>
        <v/>
      </c>
      <c r="E22">
        <f>IF(VLOOKUP($A22,'Control Groups'!$A:$D,3,FALSE)="Tier 0 – Universal","Yes",IF(COUNTIFS('Tier Category Mapping'!$A:$A,VLOOKUP($A22,'Control Groups'!$A:$D,3,FALSE),'Tier Category Mapping'!$B:$B,E2,'Tier Category Mapping'!$D:$D,"Yes")&gt;0,"Yes",""))</f>
        <v/>
      </c>
      <c r="F22">
        <f>IF(VLOOKUP($A22,'Control Groups'!$A:$D,3,FALSE)="Tier 0 – Universal","Yes",IF(COUNTIFS('Tier Category Mapping'!$A:$A,VLOOKUP($A22,'Control Groups'!$A:$D,3,FALSE),'Tier Category Mapping'!$B:$B,F2,'Tier Category Mapping'!$D:$D,"Yes")&gt;0,"Yes",""))</f>
        <v/>
      </c>
      <c r="G22">
        <f>IF(VLOOKUP($A22,'Control Groups'!$A:$D,3,FALSE)="Tier 0 – Universal","Yes",IF(COUNTIFS('Tier Category Mapping'!$A:$A,VLOOKUP($A22,'Control Groups'!$A:$D,3,FALSE),'Tier Category Mapping'!$B:$B,G2,'Tier Category Mapping'!$D:$D,"Yes")&gt;0,"Yes",""))</f>
        <v/>
      </c>
      <c r="H22">
        <f>IF(VLOOKUP($A22,'Control Groups'!$A:$D,3,FALSE)="Tier 0 – Universal","Yes",IF(COUNTIFS('Tier Category Mapping'!$A:$A,VLOOKUP($A22,'Control Groups'!$A:$D,3,FALSE),'Tier Category Mapping'!$B:$B,H2,'Tier Category Mapping'!$D:$D,"Yes")&gt;0,"Yes",""))</f>
        <v/>
      </c>
      <c r="I22">
        <f>IF(VLOOKUP($A22,'Control Groups'!$A:$D,3,FALSE)="Tier 0 – Universal","Yes",IF(COUNTIFS('Tier Category Mapping'!$A:$A,VLOOKUP($A22,'Control Groups'!$A:$D,3,FALSE),'Tier Category Mapping'!$B:$B,I2,'Tier Category Mapping'!$D:$D,"Yes")&gt;0,"Yes",""))</f>
        <v/>
      </c>
      <c r="J22">
        <f>IF(VLOOKUP($A22,'Control Groups'!$A:$D,3,FALSE)="Tier 0 – Universal","Yes",IF(COUNTIFS('Tier Category Mapping'!$A:$A,VLOOKUP($A22,'Control Groups'!$A:$D,3,FALSE),'Tier Category Mapping'!$B:$B,J2,'Tier Category Mapping'!$D:$D,"Yes")&gt;0,"Yes",""))</f>
        <v/>
      </c>
      <c r="K22">
        <f>IF(VLOOKUP($A22,'Control Groups'!$A:$D,3,FALSE)="Tier 0 – Universal","Yes",IF(COUNTIFS('Tier Category Mapping'!$A:$A,VLOOKUP($A22,'Control Groups'!$A:$D,3,FALSE),'Tier Category Mapping'!$B:$B,K2,'Tier Category Mapping'!$D:$D,"Yes")&gt;0,"Yes",""))</f>
        <v/>
      </c>
      <c r="L22">
        <f>IF(VLOOKUP($A22,'Control Groups'!$A:$D,3,FALSE)="Tier 0 – Universal","Yes",IF(COUNTIFS('Tier Category Mapping'!$A:$A,VLOOKUP($A22,'Control Groups'!$A:$D,3,FALSE),'Tier Category Mapping'!$B:$B,L2,'Tier Category Mapping'!$D:$D,"Yes")&gt;0,"Yes",""))</f>
        <v/>
      </c>
      <c r="M22">
        <f>IF(VLOOKUP($A22,'Control Groups'!$A:$D,3,FALSE)="Tier 0 – Universal","Yes",IF(COUNTIFS('Tier Category Mapping'!$A:$A,VLOOKUP($A22,'Control Groups'!$A:$D,3,FALSE),'Tier Category Mapping'!$B:$B,M2,'Tier Category Mapping'!$D:$D,"Yes")&gt;0,"Yes",""))</f>
        <v/>
      </c>
      <c r="N22">
        <f>IF(VLOOKUP($A22,'Control Groups'!$A:$D,3,FALSE)="Tier 0 – Universal","Yes",IF(COUNTIFS('Tier Category Mapping'!$A:$A,VLOOKUP($A22,'Control Groups'!$A:$D,3,FALSE),'Tier Category Mapping'!$B:$B,N2,'Tier Category Mapping'!$D:$D,"Yes")&gt;0,"Yes",""))</f>
        <v/>
      </c>
      <c r="O22">
        <f>IF(VLOOKUP($A22,'Control Groups'!$A:$D,3,FALSE)="Tier 0 – Universal","Yes",IF(COUNTIFS('Tier Category Mapping'!$A:$A,VLOOKUP($A22,'Control Groups'!$A:$D,3,FALSE),'Tier Category Mapping'!$B:$B,O2,'Tier Category Mapping'!$D:$D,"Yes")&gt;0,"Yes",""))</f>
        <v/>
      </c>
      <c r="P22">
        <f>IF(VLOOKUP($A22,'Control Groups'!$A:$D,3,FALSE)="Tier 0 – Universal","Yes",IF(COUNTIFS('Tier Category Mapping'!$A:$A,VLOOKUP($A22,'Control Groups'!$A:$D,3,FALSE),'Tier Category Mapping'!$B:$B,P2,'Tier Category Mapping'!$D:$D,"Yes")&gt;0,"Yes",""))</f>
        <v/>
      </c>
      <c r="Q22">
        <f>IF(VLOOKUP($A22,'Control Groups'!$A:$D,3,FALSE)="Tier 0 – Universal","Yes",IF(COUNTIFS('Tier Category Mapping'!$A:$A,VLOOKUP($A22,'Control Groups'!$A:$D,3,FALSE),'Tier Category Mapping'!$B:$B,Q2,'Tier Category Mapping'!$D:$D,"Yes")&gt;0,"Yes",""))</f>
        <v/>
      </c>
      <c r="R22">
        <f>IF(VLOOKUP($A22,'Control Groups'!$A:$D,3,FALSE)="Tier 0 – Universal","Yes",IF(COUNTIFS('Tier Category Mapping'!$A:$A,VLOOKUP($A22,'Control Groups'!$A:$D,3,FALSE),'Tier Category Mapping'!$B:$B,R2,'Tier Category Mapping'!$D:$D,"Yes")&gt;0,"Yes",""))</f>
        <v/>
      </c>
      <c r="S22">
        <f>IF(VLOOKUP($A22,'Control Groups'!$A:$D,3,FALSE)="Tier 0 – Universal","Yes",IF(COUNTIFS('Tier Category Mapping'!$A:$A,VLOOKUP($A22,'Control Groups'!$A:$D,3,FALSE),'Tier Category Mapping'!$B:$B,S2,'Tier Category Mapping'!$D:$D,"Yes")&gt;0,"Yes",""))</f>
        <v/>
      </c>
      <c r="T22">
        <f>IF(VLOOKUP($A22,'Control Groups'!$A:$D,3,FALSE)="Tier 0 – Universal","Yes",IF(COUNTIFS('Tier Category Mapping'!$A:$A,VLOOKUP($A22,'Control Groups'!$A:$D,3,FALSE),'Tier Category Mapping'!$B:$B,T2,'Tier Category Mapping'!$D:$D,"Yes")&gt;0,"Yes",""))</f>
        <v/>
      </c>
      <c r="U22">
        <f>IF(VLOOKUP($A22,'Control Groups'!$A:$D,3,FALSE)="Tier 0 – Universal","Yes",IF(COUNTIFS('Tier Category Mapping'!$A:$A,VLOOKUP($A22,'Control Groups'!$A:$D,3,FALSE),'Tier Category Mapping'!$B:$B,U2,'Tier Category Mapping'!$D:$D,"Yes")&gt;0,"Yes",""))</f>
        <v/>
      </c>
      <c r="V22">
        <f>IF(VLOOKUP($A22,'Control Groups'!$A:$D,3,FALSE)="Tier 0 – Universal","Yes",IF(COUNTIFS('Tier Category Mapping'!$A:$A,VLOOKUP($A22,'Control Groups'!$A:$D,3,FALSE),'Tier Category Mapping'!$B:$B,V2,'Tier Category Mapping'!$D:$D,"Yes")&gt;0,"Yes",""))</f>
        <v/>
      </c>
      <c r="W22">
        <f>IF(VLOOKUP($A22,'Control Groups'!$A:$D,3,FALSE)="Tier 0 – Universal","Yes",IF(COUNTIFS('Tier Category Mapping'!$A:$A,VLOOKUP($A22,'Control Groups'!$A:$D,3,FALSE),'Tier Category Mapping'!$B:$B,W2,'Tier Category Mapping'!$D:$D,"Yes")&gt;0,"Yes",""))</f>
        <v/>
      </c>
    </row>
    <row r="23">
      <c r="A23" t="inlineStr">
        <is>
          <t>SOP-04</t>
        </is>
      </c>
      <c r="B23" t="inlineStr">
        <is>
          <t>Endpoint protection installed</t>
        </is>
      </c>
      <c r="C23">
        <f>IF(VLOOKUP($A23,'Control Groups'!$A:$D,3,FALSE)="Tier 0 – Universal","Yes",IF(COUNTIFS('Tier Category Mapping'!$A:$A,VLOOKUP($A23,'Control Groups'!$A:$D,3,FALSE),'Tier Category Mapping'!$B:$B,C2,'Tier Category Mapping'!$D:$D,"Yes")&gt;0,"Yes",""))</f>
        <v/>
      </c>
      <c r="D23">
        <f>IF(VLOOKUP($A23,'Control Groups'!$A:$D,3,FALSE)="Tier 0 – Universal","Yes",IF(COUNTIFS('Tier Category Mapping'!$A:$A,VLOOKUP($A23,'Control Groups'!$A:$D,3,FALSE),'Tier Category Mapping'!$B:$B,D2,'Tier Category Mapping'!$D:$D,"Yes")&gt;0,"Yes",""))</f>
        <v/>
      </c>
      <c r="E23">
        <f>IF(VLOOKUP($A23,'Control Groups'!$A:$D,3,FALSE)="Tier 0 – Universal","Yes",IF(COUNTIFS('Tier Category Mapping'!$A:$A,VLOOKUP($A23,'Control Groups'!$A:$D,3,FALSE),'Tier Category Mapping'!$B:$B,E2,'Tier Category Mapping'!$D:$D,"Yes")&gt;0,"Yes",""))</f>
        <v/>
      </c>
      <c r="F23">
        <f>IF(VLOOKUP($A23,'Control Groups'!$A:$D,3,FALSE)="Tier 0 – Universal","Yes",IF(COUNTIFS('Tier Category Mapping'!$A:$A,VLOOKUP($A23,'Control Groups'!$A:$D,3,FALSE),'Tier Category Mapping'!$B:$B,F2,'Tier Category Mapping'!$D:$D,"Yes")&gt;0,"Yes",""))</f>
        <v/>
      </c>
      <c r="G23">
        <f>IF(VLOOKUP($A23,'Control Groups'!$A:$D,3,FALSE)="Tier 0 – Universal","Yes",IF(COUNTIFS('Tier Category Mapping'!$A:$A,VLOOKUP($A23,'Control Groups'!$A:$D,3,FALSE),'Tier Category Mapping'!$B:$B,G2,'Tier Category Mapping'!$D:$D,"Yes")&gt;0,"Yes",""))</f>
        <v/>
      </c>
      <c r="H23">
        <f>IF(VLOOKUP($A23,'Control Groups'!$A:$D,3,FALSE)="Tier 0 – Universal","Yes",IF(COUNTIFS('Tier Category Mapping'!$A:$A,VLOOKUP($A23,'Control Groups'!$A:$D,3,FALSE),'Tier Category Mapping'!$B:$B,H2,'Tier Category Mapping'!$D:$D,"Yes")&gt;0,"Yes",""))</f>
        <v/>
      </c>
      <c r="I23">
        <f>IF(VLOOKUP($A23,'Control Groups'!$A:$D,3,FALSE)="Tier 0 – Universal","Yes",IF(COUNTIFS('Tier Category Mapping'!$A:$A,VLOOKUP($A23,'Control Groups'!$A:$D,3,FALSE),'Tier Category Mapping'!$B:$B,I2,'Tier Category Mapping'!$D:$D,"Yes")&gt;0,"Yes",""))</f>
        <v/>
      </c>
      <c r="J23">
        <f>IF(VLOOKUP($A23,'Control Groups'!$A:$D,3,FALSE)="Tier 0 – Universal","Yes",IF(COUNTIFS('Tier Category Mapping'!$A:$A,VLOOKUP($A23,'Control Groups'!$A:$D,3,FALSE),'Tier Category Mapping'!$B:$B,J2,'Tier Category Mapping'!$D:$D,"Yes")&gt;0,"Yes",""))</f>
        <v/>
      </c>
      <c r="K23">
        <f>IF(VLOOKUP($A23,'Control Groups'!$A:$D,3,FALSE)="Tier 0 – Universal","Yes",IF(COUNTIFS('Tier Category Mapping'!$A:$A,VLOOKUP($A23,'Control Groups'!$A:$D,3,FALSE),'Tier Category Mapping'!$B:$B,K2,'Tier Category Mapping'!$D:$D,"Yes")&gt;0,"Yes",""))</f>
        <v/>
      </c>
      <c r="L23">
        <f>IF(VLOOKUP($A23,'Control Groups'!$A:$D,3,FALSE)="Tier 0 – Universal","Yes",IF(COUNTIFS('Tier Category Mapping'!$A:$A,VLOOKUP($A23,'Control Groups'!$A:$D,3,FALSE),'Tier Category Mapping'!$B:$B,L2,'Tier Category Mapping'!$D:$D,"Yes")&gt;0,"Yes",""))</f>
        <v/>
      </c>
      <c r="M23">
        <f>IF(VLOOKUP($A23,'Control Groups'!$A:$D,3,FALSE)="Tier 0 – Universal","Yes",IF(COUNTIFS('Tier Category Mapping'!$A:$A,VLOOKUP($A23,'Control Groups'!$A:$D,3,FALSE),'Tier Category Mapping'!$B:$B,M2,'Tier Category Mapping'!$D:$D,"Yes")&gt;0,"Yes",""))</f>
        <v/>
      </c>
      <c r="N23">
        <f>IF(VLOOKUP($A23,'Control Groups'!$A:$D,3,FALSE)="Tier 0 – Universal","Yes",IF(COUNTIFS('Tier Category Mapping'!$A:$A,VLOOKUP($A23,'Control Groups'!$A:$D,3,FALSE),'Tier Category Mapping'!$B:$B,N2,'Tier Category Mapping'!$D:$D,"Yes")&gt;0,"Yes",""))</f>
        <v/>
      </c>
      <c r="O23">
        <f>IF(VLOOKUP($A23,'Control Groups'!$A:$D,3,FALSE)="Tier 0 – Universal","Yes",IF(COUNTIFS('Tier Category Mapping'!$A:$A,VLOOKUP($A23,'Control Groups'!$A:$D,3,FALSE),'Tier Category Mapping'!$B:$B,O2,'Tier Category Mapping'!$D:$D,"Yes")&gt;0,"Yes",""))</f>
        <v/>
      </c>
      <c r="P23">
        <f>IF(VLOOKUP($A23,'Control Groups'!$A:$D,3,FALSE)="Tier 0 – Universal","Yes",IF(COUNTIFS('Tier Category Mapping'!$A:$A,VLOOKUP($A23,'Control Groups'!$A:$D,3,FALSE),'Tier Category Mapping'!$B:$B,P2,'Tier Category Mapping'!$D:$D,"Yes")&gt;0,"Yes",""))</f>
        <v/>
      </c>
      <c r="Q23">
        <f>IF(VLOOKUP($A23,'Control Groups'!$A:$D,3,FALSE)="Tier 0 – Universal","Yes",IF(COUNTIFS('Tier Category Mapping'!$A:$A,VLOOKUP($A23,'Control Groups'!$A:$D,3,FALSE),'Tier Category Mapping'!$B:$B,Q2,'Tier Category Mapping'!$D:$D,"Yes")&gt;0,"Yes",""))</f>
        <v/>
      </c>
      <c r="R23">
        <f>IF(VLOOKUP($A23,'Control Groups'!$A:$D,3,FALSE)="Tier 0 – Universal","Yes",IF(COUNTIFS('Tier Category Mapping'!$A:$A,VLOOKUP($A23,'Control Groups'!$A:$D,3,FALSE),'Tier Category Mapping'!$B:$B,R2,'Tier Category Mapping'!$D:$D,"Yes")&gt;0,"Yes",""))</f>
        <v/>
      </c>
      <c r="S23">
        <f>IF(VLOOKUP($A23,'Control Groups'!$A:$D,3,FALSE)="Tier 0 – Universal","Yes",IF(COUNTIFS('Tier Category Mapping'!$A:$A,VLOOKUP($A23,'Control Groups'!$A:$D,3,FALSE),'Tier Category Mapping'!$B:$B,S2,'Tier Category Mapping'!$D:$D,"Yes")&gt;0,"Yes",""))</f>
        <v/>
      </c>
      <c r="T23">
        <f>IF(VLOOKUP($A23,'Control Groups'!$A:$D,3,FALSE)="Tier 0 – Universal","Yes",IF(COUNTIFS('Tier Category Mapping'!$A:$A,VLOOKUP($A23,'Control Groups'!$A:$D,3,FALSE),'Tier Category Mapping'!$B:$B,T2,'Tier Category Mapping'!$D:$D,"Yes")&gt;0,"Yes",""))</f>
        <v/>
      </c>
      <c r="U23">
        <f>IF(VLOOKUP($A23,'Control Groups'!$A:$D,3,FALSE)="Tier 0 – Universal","Yes",IF(COUNTIFS('Tier Category Mapping'!$A:$A,VLOOKUP($A23,'Control Groups'!$A:$D,3,FALSE),'Tier Category Mapping'!$B:$B,U2,'Tier Category Mapping'!$D:$D,"Yes")&gt;0,"Yes",""))</f>
        <v/>
      </c>
      <c r="V23">
        <f>IF(VLOOKUP($A23,'Control Groups'!$A:$D,3,FALSE)="Tier 0 – Universal","Yes",IF(COUNTIFS('Tier Category Mapping'!$A:$A,VLOOKUP($A23,'Control Groups'!$A:$D,3,FALSE),'Tier Category Mapping'!$B:$B,V2,'Tier Category Mapping'!$D:$D,"Yes")&gt;0,"Yes",""))</f>
        <v/>
      </c>
      <c r="W23">
        <f>IF(VLOOKUP($A23,'Control Groups'!$A:$D,3,FALSE)="Tier 0 – Universal","Yes",IF(COUNTIFS('Tier Category Mapping'!$A:$A,VLOOKUP($A23,'Control Groups'!$A:$D,3,FALSE),'Tier Category Mapping'!$B:$B,W2,'Tier Category Mapping'!$D:$D,"Yes")&gt;0,"Yes",""))</f>
        <v/>
      </c>
    </row>
    <row r="24">
      <c r="A24" t="inlineStr">
        <is>
          <t>SOP-05</t>
        </is>
      </c>
      <c r="B24" t="inlineStr">
        <is>
          <t>Logging enabled during build</t>
        </is>
      </c>
      <c r="C24">
        <f>IF(VLOOKUP($A24,'Control Groups'!$A:$D,3,FALSE)="Tier 0 – Universal","Yes",IF(COUNTIFS('Tier Category Mapping'!$A:$A,VLOOKUP($A24,'Control Groups'!$A:$D,3,FALSE),'Tier Category Mapping'!$B:$B,C2,'Tier Category Mapping'!$D:$D,"Yes")&gt;0,"Yes",""))</f>
        <v/>
      </c>
      <c r="D24">
        <f>IF(VLOOKUP($A24,'Control Groups'!$A:$D,3,FALSE)="Tier 0 – Universal","Yes",IF(COUNTIFS('Tier Category Mapping'!$A:$A,VLOOKUP($A24,'Control Groups'!$A:$D,3,FALSE),'Tier Category Mapping'!$B:$B,D2,'Tier Category Mapping'!$D:$D,"Yes")&gt;0,"Yes",""))</f>
        <v/>
      </c>
      <c r="E24">
        <f>IF(VLOOKUP($A24,'Control Groups'!$A:$D,3,FALSE)="Tier 0 – Universal","Yes",IF(COUNTIFS('Tier Category Mapping'!$A:$A,VLOOKUP($A24,'Control Groups'!$A:$D,3,FALSE),'Tier Category Mapping'!$B:$B,E2,'Tier Category Mapping'!$D:$D,"Yes")&gt;0,"Yes",""))</f>
        <v/>
      </c>
      <c r="F24">
        <f>IF(VLOOKUP($A24,'Control Groups'!$A:$D,3,FALSE)="Tier 0 – Universal","Yes",IF(COUNTIFS('Tier Category Mapping'!$A:$A,VLOOKUP($A24,'Control Groups'!$A:$D,3,FALSE),'Tier Category Mapping'!$B:$B,F2,'Tier Category Mapping'!$D:$D,"Yes")&gt;0,"Yes",""))</f>
        <v/>
      </c>
      <c r="G24">
        <f>IF(VLOOKUP($A24,'Control Groups'!$A:$D,3,FALSE)="Tier 0 – Universal","Yes",IF(COUNTIFS('Tier Category Mapping'!$A:$A,VLOOKUP($A24,'Control Groups'!$A:$D,3,FALSE),'Tier Category Mapping'!$B:$B,G2,'Tier Category Mapping'!$D:$D,"Yes")&gt;0,"Yes",""))</f>
        <v/>
      </c>
      <c r="H24">
        <f>IF(VLOOKUP($A24,'Control Groups'!$A:$D,3,FALSE)="Tier 0 – Universal","Yes",IF(COUNTIFS('Tier Category Mapping'!$A:$A,VLOOKUP($A24,'Control Groups'!$A:$D,3,FALSE),'Tier Category Mapping'!$B:$B,H2,'Tier Category Mapping'!$D:$D,"Yes")&gt;0,"Yes",""))</f>
        <v/>
      </c>
      <c r="I24">
        <f>IF(VLOOKUP($A24,'Control Groups'!$A:$D,3,FALSE)="Tier 0 – Universal","Yes",IF(COUNTIFS('Tier Category Mapping'!$A:$A,VLOOKUP($A24,'Control Groups'!$A:$D,3,FALSE),'Tier Category Mapping'!$B:$B,I2,'Tier Category Mapping'!$D:$D,"Yes")&gt;0,"Yes",""))</f>
        <v/>
      </c>
      <c r="J24">
        <f>IF(VLOOKUP($A24,'Control Groups'!$A:$D,3,FALSE)="Tier 0 – Universal","Yes",IF(COUNTIFS('Tier Category Mapping'!$A:$A,VLOOKUP($A24,'Control Groups'!$A:$D,3,FALSE),'Tier Category Mapping'!$B:$B,J2,'Tier Category Mapping'!$D:$D,"Yes")&gt;0,"Yes",""))</f>
        <v/>
      </c>
      <c r="K24">
        <f>IF(VLOOKUP($A24,'Control Groups'!$A:$D,3,FALSE)="Tier 0 – Universal","Yes",IF(COUNTIFS('Tier Category Mapping'!$A:$A,VLOOKUP($A24,'Control Groups'!$A:$D,3,FALSE),'Tier Category Mapping'!$B:$B,K2,'Tier Category Mapping'!$D:$D,"Yes")&gt;0,"Yes",""))</f>
        <v/>
      </c>
      <c r="L24">
        <f>IF(VLOOKUP($A24,'Control Groups'!$A:$D,3,FALSE)="Tier 0 – Universal","Yes",IF(COUNTIFS('Tier Category Mapping'!$A:$A,VLOOKUP($A24,'Control Groups'!$A:$D,3,FALSE),'Tier Category Mapping'!$B:$B,L2,'Tier Category Mapping'!$D:$D,"Yes")&gt;0,"Yes",""))</f>
        <v/>
      </c>
      <c r="M24">
        <f>IF(VLOOKUP($A24,'Control Groups'!$A:$D,3,FALSE)="Tier 0 – Universal","Yes",IF(COUNTIFS('Tier Category Mapping'!$A:$A,VLOOKUP($A24,'Control Groups'!$A:$D,3,FALSE),'Tier Category Mapping'!$B:$B,M2,'Tier Category Mapping'!$D:$D,"Yes")&gt;0,"Yes",""))</f>
        <v/>
      </c>
      <c r="N24">
        <f>IF(VLOOKUP($A24,'Control Groups'!$A:$D,3,FALSE)="Tier 0 – Universal","Yes",IF(COUNTIFS('Tier Category Mapping'!$A:$A,VLOOKUP($A24,'Control Groups'!$A:$D,3,FALSE),'Tier Category Mapping'!$B:$B,N2,'Tier Category Mapping'!$D:$D,"Yes")&gt;0,"Yes",""))</f>
        <v/>
      </c>
      <c r="O24">
        <f>IF(VLOOKUP($A24,'Control Groups'!$A:$D,3,FALSE)="Tier 0 – Universal","Yes",IF(COUNTIFS('Tier Category Mapping'!$A:$A,VLOOKUP($A24,'Control Groups'!$A:$D,3,FALSE),'Tier Category Mapping'!$B:$B,O2,'Tier Category Mapping'!$D:$D,"Yes")&gt;0,"Yes",""))</f>
        <v/>
      </c>
      <c r="P24">
        <f>IF(VLOOKUP($A24,'Control Groups'!$A:$D,3,FALSE)="Tier 0 – Universal","Yes",IF(COUNTIFS('Tier Category Mapping'!$A:$A,VLOOKUP($A24,'Control Groups'!$A:$D,3,FALSE),'Tier Category Mapping'!$B:$B,P2,'Tier Category Mapping'!$D:$D,"Yes")&gt;0,"Yes",""))</f>
        <v/>
      </c>
      <c r="Q24">
        <f>IF(VLOOKUP($A24,'Control Groups'!$A:$D,3,FALSE)="Tier 0 – Universal","Yes",IF(COUNTIFS('Tier Category Mapping'!$A:$A,VLOOKUP($A24,'Control Groups'!$A:$D,3,FALSE),'Tier Category Mapping'!$B:$B,Q2,'Tier Category Mapping'!$D:$D,"Yes")&gt;0,"Yes",""))</f>
        <v/>
      </c>
      <c r="R24">
        <f>IF(VLOOKUP($A24,'Control Groups'!$A:$D,3,FALSE)="Tier 0 – Universal","Yes",IF(COUNTIFS('Tier Category Mapping'!$A:$A,VLOOKUP($A24,'Control Groups'!$A:$D,3,FALSE),'Tier Category Mapping'!$B:$B,R2,'Tier Category Mapping'!$D:$D,"Yes")&gt;0,"Yes",""))</f>
        <v/>
      </c>
      <c r="S24">
        <f>IF(VLOOKUP($A24,'Control Groups'!$A:$D,3,FALSE)="Tier 0 – Universal","Yes",IF(COUNTIFS('Tier Category Mapping'!$A:$A,VLOOKUP($A24,'Control Groups'!$A:$D,3,FALSE),'Tier Category Mapping'!$B:$B,S2,'Tier Category Mapping'!$D:$D,"Yes")&gt;0,"Yes",""))</f>
        <v/>
      </c>
      <c r="T24">
        <f>IF(VLOOKUP($A24,'Control Groups'!$A:$D,3,FALSE)="Tier 0 – Universal","Yes",IF(COUNTIFS('Tier Category Mapping'!$A:$A,VLOOKUP($A24,'Control Groups'!$A:$D,3,FALSE),'Tier Category Mapping'!$B:$B,T2,'Tier Category Mapping'!$D:$D,"Yes")&gt;0,"Yes",""))</f>
        <v/>
      </c>
      <c r="U24">
        <f>IF(VLOOKUP($A24,'Control Groups'!$A:$D,3,FALSE)="Tier 0 – Universal","Yes",IF(COUNTIFS('Tier Category Mapping'!$A:$A,VLOOKUP($A24,'Control Groups'!$A:$D,3,FALSE),'Tier Category Mapping'!$B:$B,U2,'Tier Category Mapping'!$D:$D,"Yes")&gt;0,"Yes",""))</f>
        <v/>
      </c>
      <c r="V24">
        <f>IF(VLOOKUP($A24,'Control Groups'!$A:$D,3,FALSE)="Tier 0 – Universal","Yes",IF(COUNTIFS('Tier Category Mapping'!$A:$A,VLOOKUP($A24,'Control Groups'!$A:$D,3,FALSE),'Tier Category Mapping'!$B:$B,V2,'Tier Category Mapping'!$D:$D,"Yes")&gt;0,"Yes",""))</f>
        <v/>
      </c>
      <c r="W24">
        <f>IF(VLOOKUP($A24,'Control Groups'!$A:$D,3,FALSE)="Tier 0 – Universal","Yes",IF(COUNTIFS('Tier Category Mapping'!$A:$A,VLOOKUP($A24,'Control Groups'!$A:$D,3,FALSE),'Tier Category Mapping'!$B:$B,W2,'Tier Category Mapping'!$D:$D,"Yes")&gt;0,"Yes",""))</f>
        <v/>
      </c>
    </row>
    <row r="25">
      <c r="A25" t="inlineStr">
        <is>
          <t>SOP-06</t>
        </is>
      </c>
      <c r="B25" t="inlineStr">
        <is>
          <t>Hardening checklist validated</t>
        </is>
      </c>
      <c r="C25">
        <f>IF(VLOOKUP($A25,'Control Groups'!$A:$D,3,FALSE)="Tier 0 – Universal","Yes",IF(COUNTIFS('Tier Category Mapping'!$A:$A,VLOOKUP($A25,'Control Groups'!$A:$D,3,FALSE),'Tier Category Mapping'!$B:$B,C2,'Tier Category Mapping'!$D:$D,"Yes")&gt;0,"Yes",""))</f>
        <v/>
      </c>
      <c r="D25">
        <f>IF(VLOOKUP($A25,'Control Groups'!$A:$D,3,FALSE)="Tier 0 – Universal","Yes",IF(COUNTIFS('Tier Category Mapping'!$A:$A,VLOOKUP($A25,'Control Groups'!$A:$D,3,FALSE),'Tier Category Mapping'!$B:$B,D2,'Tier Category Mapping'!$D:$D,"Yes")&gt;0,"Yes",""))</f>
        <v/>
      </c>
      <c r="E25">
        <f>IF(VLOOKUP($A25,'Control Groups'!$A:$D,3,FALSE)="Tier 0 – Universal","Yes",IF(COUNTIFS('Tier Category Mapping'!$A:$A,VLOOKUP($A25,'Control Groups'!$A:$D,3,FALSE),'Tier Category Mapping'!$B:$B,E2,'Tier Category Mapping'!$D:$D,"Yes")&gt;0,"Yes",""))</f>
        <v/>
      </c>
      <c r="F25">
        <f>IF(VLOOKUP($A25,'Control Groups'!$A:$D,3,FALSE)="Tier 0 – Universal","Yes",IF(COUNTIFS('Tier Category Mapping'!$A:$A,VLOOKUP($A25,'Control Groups'!$A:$D,3,FALSE),'Tier Category Mapping'!$B:$B,F2,'Tier Category Mapping'!$D:$D,"Yes")&gt;0,"Yes",""))</f>
        <v/>
      </c>
      <c r="G25">
        <f>IF(VLOOKUP($A25,'Control Groups'!$A:$D,3,FALSE)="Tier 0 – Universal","Yes",IF(COUNTIFS('Tier Category Mapping'!$A:$A,VLOOKUP($A25,'Control Groups'!$A:$D,3,FALSE),'Tier Category Mapping'!$B:$B,G2,'Tier Category Mapping'!$D:$D,"Yes")&gt;0,"Yes",""))</f>
        <v/>
      </c>
      <c r="H25">
        <f>IF(VLOOKUP($A25,'Control Groups'!$A:$D,3,FALSE)="Tier 0 – Universal","Yes",IF(COUNTIFS('Tier Category Mapping'!$A:$A,VLOOKUP($A25,'Control Groups'!$A:$D,3,FALSE),'Tier Category Mapping'!$B:$B,H2,'Tier Category Mapping'!$D:$D,"Yes")&gt;0,"Yes",""))</f>
        <v/>
      </c>
      <c r="I25">
        <f>IF(VLOOKUP($A25,'Control Groups'!$A:$D,3,FALSE)="Tier 0 – Universal","Yes",IF(COUNTIFS('Tier Category Mapping'!$A:$A,VLOOKUP($A25,'Control Groups'!$A:$D,3,FALSE),'Tier Category Mapping'!$B:$B,I2,'Tier Category Mapping'!$D:$D,"Yes")&gt;0,"Yes",""))</f>
        <v/>
      </c>
      <c r="J25">
        <f>IF(VLOOKUP($A25,'Control Groups'!$A:$D,3,FALSE)="Tier 0 – Universal","Yes",IF(COUNTIFS('Tier Category Mapping'!$A:$A,VLOOKUP($A25,'Control Groups'!$A:$D,3,FALSE),'Tier Category Mapping'!$B:$B,J2,'Tier Category Mapping'!$D:$D,"Yes")&gt;0,"Yes",""))</f>
        <v/>
      </c>
      <c r="K25">
        <f>IF(VLOOKUP($A25,'Control Groups'!$A:$D,3,FALSE)="Tier 0 – Universal","Yes",IF(COUNTIFS('Tier Category Mapping'!$A:$A,VLOOKUP($A25,'Control Groups'!$A:$D,3,FALSE),'Tier Category Mapping'!$B:$B,K2,'Tier Category Mapping'!$D:$D,"Yes")&gt;0,"Yes",""))</f>
        <v/>
      </c>
      <c r="L25">
        <f>IF(VLOOKUP($A25,'Control Groups'!$A:$D,3,FALSE)="Tier 0 – Universal","Yes",IF(COUNTIFS('Tier Category Mapping'!$A:$A,VLOOKUP($A25,'Control Groups'!$A:$D,3,FALSE),'Tier Category Mapping'!$B:$B,L2,'Tier Category Mapping'!$D:$D,"Yes")&gt;0,"Yes",""))</f>
        <v/>
      </c>
      <c r="M25">
        <f>IF(VLOOKUP($A25,'Control Groups'!$A:$D,3,FALSE)="Tier 0 – Universal","Yes",IF(COUNTIFS('Tier Category Mapping'!$A:$A,VLOOKUP($A25,'Control Groups'!$A:$D,3,FALSE),'Tier Category Mapping'!$B:$B,M2,'Tier Category Mapping'!$D:$D,"Yes")&gt;0,"Yes",""))</f>
        <v/>
      </c>
      <c r="N25">
        <f>IF(VLOOKUP($A25,'Control Groups'!$A:$D,3,FALSE)="Tier 0 – Universal","Yes",IF(COUNTIFS('Tier Category Mapping'!$A:$A,VLOOKUP($A25,'Control Groups'!$A:$D,3,FALSE),'Tier Category Mapping'!$B:$B,N2,'Tier Category Mapping'!$D:$D,"Yes")&gt;0,"Yes",""))</f>
        <v/>
      </c>
      <c r="O25">
        <f>IF(VLOOKUP($A25,'Control Groups'!$A:$D,3,FALSE)="Tier 0 – Universal","Yes",IF(COUNTIFS('Tier Category Mapping'!$A:$A,VLOOKUP($A25,'Control Groups'!$A:$D,3,FALSE),'Tier Category Mapping'!$B:$B,O2,'Tier Category Mapping'!$D:$D,"Yes")&gt;0,"Yes",""))</f>
        <v/>
      </c>
      <c r="P25">
        <f>IF(VLOOKUP($A25,'Control Groups'!$A:$D,3,FALSE)="Tier 0 – Universal","Yes",IF(COUNTIFS('Tier Category Mapping'!$A:$A,VLOOKUP($A25,'Control Groups'!$A:$D,3,FALSE),'Tier Category Mapping'!$B:$B,P2,'Tier Category Mapping'!$D:$D,"Yes")&gt;0,"Yes",""))</f>
        <v/>
      </c>
      <c r="Q25">
        <f>IF(VLOOKUP($A25,'Control Groups'!$A:$D,3,FALSE)="Tier 0 – Universal","Yes",IF(COUNTIFS('Tier Category Mapping'!$A:$A,VLOOKUP($A25,'Control Groups'!$A:$D,3,FALSE),'Tier Category Mapping'!$B:$B,Q2,'Tier Category Mapping'!$D:$D,"Yes")&gt;0,"Yes",""))</f>
        <v/>
      </c>
      <c r="R25">
        <f>IF(VLOOKUP($A25,'Control Groups'!$A:$D,3,FALSE)="Tier 0 – Universal","Yes",IF(COUNTIFS('Tier Category Mapping'!$A:$A,VLOOKUP($A25,'Control Groups'!$A:$D,3,FALSE),'Tier Category Mapping'!$B:$B,R2,'Tier Category Mapping'!$D:$D,"Yes")&gt;0,"Yes",""))</f>
        <v/>
      </c>
      <c r="S25">
        <f>IF(VLOOKUP($A25,'Control Groups'!$A:$D,3,FALSE)="Tier 0 – Universal","Yes",IF(COUNTIFS('Tier Category Mapping'!$A:$A,VLOOKUP($A25,'Control Groups'!$A:$D,3,FALSE),'Tier Category Mapping'!$B:$B,S2,'Tier Category Mapping'!$D:$D,"Yes")&gt;0,"Yes",""))</f>
        <v/>
      </c>
      <c r="T25">
        <f>IF(VLOOKUP($A25,'Control Groups'!$A:$D,3,FALSE)="Tier 0 – Universal","Yes",IF(COUNTIFS('Tier Category Mapping'!$A:$A,VLOOKUP($A25,'Control Groups'!$A:$D,3,FALSE),'Tier Category Mapping'!$B:$B,T2,'Tier Category Mapping'!$D:$D,"Yes")&gt;0,"Yes",""))</f>
        <v/>
      </c>
      <c r="U25">
        <f>IF(VLOOKUP($A25,'Control Groups'!$A:$D,3,FALSE)="Tier 0 – Universal","Yes",IF(COUNTIFS('Tier Category Mapping'!$A:$A,VLOOKUP($A25,'Control Groups'!$A:$D,3,FALSE),'Tier Category Mapping'!$B:$B,U2,'Tier Category Mapping'!$D:$D,"Yes")&gt;0,"Yes",""))</f>
        <v/>
      </c>
      <c r="V25">
        <f>IF(VLOOKUP($A25,'Control Groups'!$A:$D,3,FALSE)="Tier 0 – Universal","Yes",IF(COUNTIFS('Tier Category Mapping'!$A:$A,VLOOKUP($A25,'Control Groups'!$A:$D,3,FALSE),'Tier Category Mapping'!$B:$B,V2,'Tier Category Mapping'!$D:$D,"Yes")&gt;0,"Yes",""))</f>
        <v/>
      </c>
      <c r="W25">
        <f>IF(VLOOKUP($A25,'Control Groups'!$A:$D,3,FALSE)="Tier 0 – Universal","Yes",IF(COUNTIFS('Tier Category Mapping'!$A:$A,VLOOKUP($A25,'Control Groups'!$A:$D,3,FALSE),'Tier Category Mapping'!$B:$B,W2,'Tier Category Mapping'!$D:$D,"Yes")&gt;0,"Yes",""))</f>
        <v/>
      </c>
    </row>
    <row r="26">
      <c r="A26" t="inlineStr">
        <is>
          <t>SOP-07</t>
        </is>
      </c>
      <c r="B26" t="inlineStr">
        <is>
          <t>Regular patching performed</t>
        </is>
      </c>
      <c r="C26">
        <f>IF(VLOOKUP($A26,'Control Groups'!$A:$D,3,FALSE)="Tier 0 – Universal","Yes",IF(COUNTIFS('Tier Category Mapping'!$A:$A,VLOOKUP($A26,'Control Groups'!$A:$D,3,FALSE),'Tier Category Mapping'!$B:$B,C2,'Tier Category Mapping'!$D:$D,"Yes")&gt;0,"Yes",""))</f>
        <v/>
      </c>
      <c r="D26">
        <f>IF(VLOOKUP($A26,'Control Groups'!$A:$D,3,FALSE)="Tier 0 – Universal","Yes",IF(COUNTIFS('Tier Category Mapping'!$A:$A,VLOOKUP($A26,'Control Groups'!$A:$D,3,FALSE),'Tier Category Mapping'!$B:$B,D2,'Tier Category Mapping'!$D:$D,"Yes")&gt;0,"Yes",""))</f>
        <v/>
      </c>
      <c r="E26">
        <f>IF(VLOOKUP($A26,'Control Groups'!$A:$D,3,FALSE)="Tier 0 – Universal","Yes",IF(COUNTIFS('Tier Category Mapping'!$A:$A,VLOOKUP($A26,'Control Groups'!$A:$D,3,FALSE),'Tier Category Mapping'!$B:$B,E2,'Tier Category Mapping'!$D:$D,"Yes")&gt;0,"Yes",""))</f>
        <v/>
      </c>
      <c r="F26">
        <f>IF(VLOOKUP($A26,'Control Groups'!$A:$D,3,FALSE)="Tier 0 – Universal","Yes",IF(COUNTIFS('Tier Category Mapping'!$A:$A,VLOOKUP($A26,'Control Groups'!$A:$D,3,FALSE),'Tier Category Mapping'!$B:$B,F2,'Tier Category Mapping'!$D:$D,"Yes")&gt;0,"Yes",""))</f>
        <v/>
      </c>
      <c r="G26">
        <f>IF(VLOOKUP($A26,'Control Groups'!$A:$D,3,FALSE)="Tier 0 – Universal","Yes",IF(COUNTIFS('Tier Category Mapping'!$A:$A,VLOOKUP($A26,'Control Groups'!$A:$D,3,FALSE),'Tier Category Mapping'!$B:$B,G2,'Tier Category Mapping'!$D:$D,"Yes")&gt;0,"Yes",""))</f>
        <v/>
      </c>
      <c r="H26">
        <f>IF(VLOOKUP($A26,'Control Groups'!$A:$D,3,FALSE)="Tier 0 – Universal","Yes",IF(COUNTIFS('Tier Category Mapping'!$A:$A,VLOOKUP($A26,'Control Groups'!$A:$D,3,FALSE),'Tier Category Mapping'!$B:$B,H2,'Tier Category Mapping'!$D:$D,"Yes")&gt;0,"Yes",""))</f>
        <v/>
      </c>
      <c r="I26">
        <f>IF(VLOOKUP($A26,'Control Groups'!$A:$D,3,FALSE)="Tier 0 – Universal","Yes",IF(COUNTIFS('Tier Category Mapping'!$A:$A,VLOOKUP($A26,'Control Groups'!$A:$D,3,FALSE),'Tier Category Mapping'!$B:$B,I2,'Tier Category Mapping'!$D:$D,"Yes")&gt;0,"Yes",""))</f>
        <v/>
      </c>
      <c r="J26">
        <f>IF(VLOOKUP($A26,'Control Groups'!$A:$D,3,FALSE)="Tier 0 – Universal","Yes",IF(COUNTIFS('Tier Category Mapping'!$A:$A,VLOOKUP($A26,'Control Groups'!$A:$D,3,FALSE),'Tier Category Mapping'!$B:$B,J2,'Tier Category Mapping'!$D:$D,"Yes")&gt;0,"Yes",""))</f>
        <v/>
      </c>
      <c r="K26">
        <f>IF(VLOOKUP($A26,'Control Groups'!$A:$D,3,FALSE)="Tier 0 – Universal","Yes",IF(COUNTIFS('Tier Category Mapping'!$A:$A,VLOOKUP($A26,'Control Groups'!$A:$D,3,FALSE),'Tier Category Mapping'!$B:$B,K2,'Tier Category Mapping'!$D:$D,"Yes")&gt;0,"Yes",""))</f>
        <v/>
      </c>
      <c r="L26">
        <f>IF(VLOOKUP($A26,'Control Groups'!$A:$D,3,FALSE)="Tier 0 – Universal","Yes",IF(COUNTIFS('Tier Category Mapping'!$A:$A,VLOOKUP($A26,'Control Groups'!$A:$D,3,FALSE),'Tier Category Mapping'!$B:$B,L2,'Tier Category Mapping'!$D:$D,"Yes")&gt;0,"Yes",""))</f>
        <v/>
      </c>
      <c r="M26">
        <f>IF(VLOOKUP($A26,'Control Groups'!$A:$D,3,FALSE)="Tier 0 – Universal","Yes",IF(COUNTIFS('Tier Category Mapping'!$A:$A,VLOOKUP($A26,'Control Groups'!$A:$D,3,FALSE),'Tier Category Mapping'!$B:$B,M2,'Tier Category Mapping'!$D:$D,"Yes")&gt;0,"Yes",""))</f>
        <v/>
      </c>
      <c r="N26">
        <f>IF(VLOOKUP($A26,'Control Groups'!$A:$D,3,FALSE)="Tier 0 – Universal","Yes",IF(COUNTIFS('Tier Category Mapping'!$A:$A,VLOOKUP($A26,'Control Groups'!$A:$D,3,FALSE),'Tier Category Mapping'!$B:$B,N2,'Tier Category Mapping'!$D:$D,"Yes")&gt;0,"Yes",""))</f>
        <v/>
      </c>
      <c r="O26">
        <f>IF(VLOOKUP($A26,'Control Groups'!$A:$D,3,FALSE)="Tier 0 – Universal","Yes",IF(COUNTIFS('Tier Category Mapping'!$A:$A,VLOOKUP($A26,'Control Groups'!$A:$D,3,FALSE),'Tier Category Mapping'!$B:$B,O2,'Tier Category Mapping'!$D:$D,"Yes")&gt;0,"Yes",""))</f>
        <v/>
      </c>
      <c r="P26">
        <f>IF(VLOOKUP($A26,'Control Groups'!$A:$D,3,FALSE)="Tier 0 – Universal","Yes",IF(COUNTIFS('Tier Category Mapping'!$A:$A,VLOOKUP($A26,'Control Groups'!$A:$D,3,FALSE),'Tier Category Mapping'!$B:$B,P2,'Tier Category Mapping'!$D:$D,"Yes")&gt;0,"Yes",""))</f>
        <v/>
      </c>
      <c r="Q26">
        <f>IF(VLOOKUP($A26,'Control Groups'!$A:$D,3,FALSE)="Tier 0 – Universal","Yes",IF(COUNTIFS('Tier Category Mapping'!$A:$A,VLOOKUP($A26,'Control Groups'!$A:$D,3,FALSE),'Tier Category Mapping'!$B:$B,Q2,'Tier Category Mapping'!$D:$D,"Yes")&gt;0,"Yes",""))</f>
        <v/>
      </c>
      <c r="R26">
        <f>IF(VLOOKUP($A26,'Control Groups'!$A:$D,3,FALSE)="Tier 0 – Universal","Yes",IF(COUNTIFS('Tier Category Mapping'!$A:$A,VLOOKUP($A26,'Control Groups'!$A:$D,3,FALSE),'Tier Category Mapping'!$B:$B,R2,'Tier Category Mapping'!$D:$D,"Yes")&gt;0,"Yes",""))</f>
        <v/>
      </c>
      <c r="S26">
        <f>IF(VLOOKUP($A26,'Control Groups'!$A:$D,3,FALSE)="Tier 0 – Universal","Yes",IF(COUNTIFS('Tier Category Mapping'!$A:$A,VLOOKUP($A26,'Control Groups'!$A:$D,3,FALSE),'Tier Category Mapping'!$B:$B,S2,'Tier Category Mapping'!$D:$D,"Yes")&gt;0,"Yes",""))</f>
        <v/>
      </c>
      <c r="T26">
        <f>IF(VLOOKUP($A26,'Control Groups'!$A:$D,3,FALSE)="Tier 0 – Universal","Yes",IF(COUNTIFS('Tier Category Mapping'!$A:$A,VLOOKUP($A26,'Control Groups'!$A:$D,3,FALSE),'Tier Category Mapping'!$B:$B,T2,'Tier Category Mapping'!$D:$D,"Yes")&gt;0,"Yes",""))</f>
        <v/>
      </c>
      <c r="U26">
        <f>IF(VLOOKUP($A26,'Control Groups'!$A:$D,3,FALSE)="Tier 0 – Universal","Yes",IF(COUNTIFS('Tier Category Mapping'!$A:$A,VLOOKUP($A26,'Control Groups'!$A:$D,3,FALSE),'Tier Category Mapping'!$B:$B,U2,'Tier Category Mapping'!$D:$D,"Yes")&gt;0,"Yes",""))</f>
        <v/>
      </c>
      <c r="V26">
        <f>IF(VLOOKUP($A26,'Control Groups'!$A:$D,3,FALSE)="Tier 0 – Universal","Yes",IF(COUNTIFS('Tier Category Mapping'!$A:$A,VLOOKUP($A26,'Control Groups'!$A:$D,3,FALSE),'Tier Category Mapping'!$B:$B,V2,'Tier Category Mapping'!$D:$D,"Yes")&gt;0,"Yes",""))</f>
        <v/>
      </c>
      <c r="W26">
        <f>IF(VLOOKUP($A26,'Control Groups'!$A:$D,3,FALSE)="Tier 0 – Universal","Yes",IF(COUNTIFS('Tier Category Mapping'!$A:$A,VLOOKUP($A26,'Control Groups'!$A:$D,3,FALSE),'Tier Category Mapping'!$B:$B,W2,'Tier Category Mapping'!$D:$D,"Yes")&gt;0,"Yes",""))</f>
        <v/>
      </c>
    </row>
    <row r="27">
      <c r="A27" t="inlineStr">
        <is>
          <t>SOP-08</t>
        </is>
      </c>
      <c r="B27" t="inlineStr">
        <is>
          <t>Access reviewed periodically</t>
        </is>
      </c>
      <c r="C27">
        <f>IF(VLOOKUP($A27,'Control Groups'!$A:$D,3,FALSE)="Tier 0 – Universal","Yes",IF(COUNTIFS('Tier Category Mapping'!$A:$A,VLOOKUP($A27,'Control Groups'!$A:$D,3,FALSE),'Tier Category Mapping'!$B:$B,C2,'Tier Category Mapping'!$D:$D,"Yes")&gt;0,"Yes",""))</f>
        <v/>
      </c>
      <c r="D27">
        <f>IF(VLOOKUP($A27,'Control Groups'!$A:$D,3,FALSE)="Tier 0 – Universal","Yes",IF(COUNTIFS('Tier Category Mapping'!$A:$A,VLOOKUP($A27,'Control Groups'!$A:$D,3,FALSE),'Tier Category Mapping'!$B:$B,D2,'Tier Category Mapping'!$D:$D,"Yes")&gt;0,"Yes",""))</f>
        <v/>
      </c>
      <c r="E27">
        <f>IF(VLOOKUP($A27,'Control Groups'!$A:$D,3,FALSE)="Tier 0 – Universal","Yes",IF(COUNTIFS('Tier Category Mapping'!$A:$A,VLOOKUP($A27,'Control Groups'!$A:$D,3,FALSE),'Tier Category Mapping'!$B:$B,E2,'Tier Category Mapping'!$D:$D,"Yes")&gt;0,"Yes",""))</f>
        <v/>
      </c>
      <c r="F27">
        <f>IF(VLOOKUP($A27,'Control Groups'!$A:$D,3,FALSE)="Tier 0 – Universal","Yes",IF(COUNTIFS('Tier Category Mapping'!$A:$A,VLOOKUP($A27,'Control Groups'!$A:$D,3,FALSE),'Tier Category Mapping'!$B:$B,F2,'Tier Category Mapping'!$D:$D,"Yes")&gt;0,"Yes",""))</f>
        <v/>
      </c>
      <c r="G27">
        <f>IF(VLOOKUP($A27,'Control Groups'!$A:$D,3,FALSE)="Tier 0 – Universal","Yes",IF(COUNTIFS('Tier Category Mapping'!$A:$A,VLOOKUP($A27,'Control Groups'!$A:$D,3,FALSE),'Tier Category Mapping'!$B:$B,G2,'Tier Category Mapping'!$D:$D,"Yes")&gt;0,"Yes",""))</f>
        <v/>
      </c>
      <c r="H27">
        <f>IF(VLOOKUP($A27,'Control Groups'!$A:$D,3,FALSE)="Tier 0 – Universal","Yes",IF(COUNTIFS('Tier Category Mapping'!$A:$A,VLOOKUP($A27,'Control Groups'!$A:$D,3,FALSE),'Tier Category Mapping'!$B:$B,H2,'Tier Category Mapping'!$D:$D,"Yes")&gt;0,"Yes",""))</f>
        <v/>
      </c>
      <c r="I27">
        <f>IF(VLOOKUP($A27,'Control Groups'!$A:$D,3,FALSE)="Tier 0 – Universal","Yes",IF(COUNTIFS('Tier Category Mapping'!$A:$A,VLOOKUP($A27,'Control Groups'!$A:$D,3,FALSE),'Tier Category Mapping'!$B:$B,I2,'Tier Category Mapping'!$D:$D,"Yes")&gt;0,"Yes",""))</f>
        <v/>
      </c>
      <c r="J27">
        <f>IF(VLOOKUP($A27,'Control Groups'!$A:$D,3,FALSE)="Tier 0 – Universal","Yes",IF(COUNTIFS('Tier Category Mapping'!$A:$A,VLOOKUP($A27,'Control Groups'!$A:$D,3,FALSE),'Tier Category Mapping'!$B:$B,J2,'Tier Category Mapping'!$D:$D,"Yes")&gt;0,"Yes",""))</f>
        <v/>
      </c>
      <c r="K27">
        <f>IF(VLOOKUP($A27,'Control Groups'!$A:$D,3,FALSE)="Tier 0 – Universal","Yes",IF(COUNTIFS('Tier Category Mapping'!$A:$A,VLOOKUP($A27,'Control Groups'!$A:$D,3,FALSE),'Tier Category Mapping'!$B:$B,K2,'Tier Category Mapping'!$D:$D,"Yes")&gt;0,"Yes",""))</f>
        <v/>
      </c>
      <c r="L27">
        <f>IF(VLOOKUP($A27,'Control Groups'!$A:$D,3,FALSE)="Tier 0 – Universal","Yes",IF(COUNTIFS('Tier Category Mapping'!$A:$A,VLOOKUP($A27,'Control Groups'!$A:$D,3,FALSE),'Tier Category Mapping'!$B:$B,L2,'Tier Category Mapping'!$D:$D,"Yes")&gt;0,"Yes",""))</f>
        <v/>
      </c>
      <c r="M27">
        <f>IF(VLOOKUP($A27,'Control Groups'!$A:$D,3,FALSE)="Tier 0 – Universal","Yes",IF(COUNTIFS('Tier Category Mapping'!$A:$A,VLOOKUP($A27,'Control Groups'!$A:$D,3,FALSE),'Tier Category Mapping'!$B:$B,M2,'Tier Category Mapping'!$D:$D,"Yes")&gt;0,"Yes",""))</f>
        <v/>
      </c>
      <c r="N27">
        <f>IF(VLOOKUP($A27,'Control Groups'!$A:$D,3,FALSE)="Tier 0 – Universal","Yes",IF(COUNTIFS('Tier Category Mapping'!$A:$A,VLOOKUP($A27,'Control Groups'!$A:$D,3,FALSE),'Tier Category Mapping'!$B:$B,N2,'Tier Category Mapping'!$D:$D,"Yes")&gt;0,"Yes",""))</f>
        <v/>
      </c>
      <c r="O27">
        <f>IF(VLOOKUP($A27,'Control Groups'!$A:$D,3,FALSE)="Tier 0 – Universal","Yes",IF(COUNTIFS('Tier Category Mapping'!$A:$A,VLOOKUP($A27,'Control Groups'!$A:$D,3,FALSE),'Tier Category Mapping'!$B:$B,O2,'Tier Category Mapping'!$D:$D,"Yes")&gt;0,"Yes",""))</f>
        <v/>
      </c>
      <c r="P27">
        <f>IF(VLOOKUP($A27,'Control Groups'!$A:$D,3,FALSE)="Tier 0 – Universal","Yes",IF(COUNTIFS('Tier Category Mapping'!$A:$A,VLOOKUP($A27,'Control Groups'!$A:$D,3,FALSE),'Tier Category Mapping'!$B:$B,P2,'Tier Category Mapping'!$D:$D,"Yes")&gt;0,"Yes",""))</f>
        <v/>
      </c>
      <c r="Q27">
        <f>IF(VLOOKUP($A27,'Control Groups'!$A:$D,3,FALSE)="Tier 0 – Universal","Yes",IF(COUNTIFS('Tier Category Mapping'!$A:$A,VLOOKUP($A27,'Control Groups'!$A:$D,3,FALSE),'Tier Category Mapping'!$B:$B,Q2,'Tier Category Mapping'!$D:$D,"Yes")&gt;0,"Yes",""))</f>
        <v/>
      </c>
      <c r="R27">
        <f>IF(VLOOKUP($A27,'Control Groups'!$A:$D,3,FALSE)="Tier 0 – Universal","Yes",IF(COUNTIFS('Tier Category Mapping'!$A:$A,VLOOKUP($A27,'Control Groups'!$A:$D,3,FALSE),'Tier Category Mapping'!$B:$B,R2,'Tier Category Mapping'!$D:$D,"Yes")&gt;0,"Yes",""))</f>
        <v/>
      </c>
      <c r="S27">
        <f>IF(VLOOKUP($A27,'Control Groups'!$A:$D,3,FALSE)="Tier 0 – Universal","Yes",IF(COUNTIFS('Tier Category Mapping'!$A:$A,VLOOKUP($A27,'Control Groups'!$A:$D,3,FALSE),'Tier Category Mapping'!$B:$B,S2,'Tier Category Mapping'!$D:$D,"Yes")&gt;0,"Yes",""))</f>
        <v/>
      </c>
      <c r="T27">
        <f>IF(VLOOKUP($A27,'Control Groups'!$A:$D,3,FALSE)="Tier 0 – Universal","Yes",IF(COUNTIFS('Tier Category Mapping'!$A:$A,VLOOKUP($A27,'Control Groups'!$A:$D,3,FALSE),'Tier Category Mapping'!$B:$B,T2,'Tier Category Mapping'!$D:$D,"Yes")&gt;0,"Yes",""))</f>
        <v/>
      </c>
      <c r="U27">
        <f>IF(VLOOKUP($A27,'Control Groups'!$A:$D,3,FALSE)="Tier 0 – Universal","Yes",IF(COUNTIFS('Tier Category Mapping'!$A:$A,VLOOKUP($A27,'Control Groups'!$A:$D,3,FALSE),'Tier Category Mapping'!$B:$B,U2,'Tier Category Mapping'!$D:$D,"Yes")&gt;0,"Yes",""))</f>
        <v/>
      </c>
      <c r="V27">
        <f>IF(VLOOKUP($A27,'Control Groups'!$A:$D,3,FALSE)="Tier 0 – Universal","Yes",IF(COUNTIFS('Tier Category Mapping'!$A:$A,VLOOKUP($A27,'Control Groups'!$A:$D,3,FALSE),'Tier Category Mapping'!$B:$B,V2,'Tier Category Mapping'!$D:$D,"Yes")&gt;0,"Yes",""))</f>
        <v/>
      </c>
      <c r="W27">
        <f>IF(VLOOKUP($A27,'Control Groups'!$A:$D,3,FALSE)="Tier 0 – Universal","Yes",IF(COUNTIFS('Tier Category Mapping'!$A:$A,VLOOKUP($A27,'Control Groups'!$A:$D,3,FALSE),'Tier Category Mapping'!$B:$B,W2,'Tier Category Mapping'!$D:$D,"Yes")&gt;0,"Yes",""))</f>
        <v/>
      </c>
    </row>
    <row r="28">
      <c r="A28" t="inlineStr">
        <is>
          <t>SOP-09</t>
        </is>
      </c>
      <c r="B28" t="inlineStr">
        <is>
          <t>Configuration changes documented</t>
        </is>
      </c>
      <c r="C28">
        <f>IF(VLOOKUP($A28,'Control Groups'!$A:$D,3,FALSE)="Tier 0 – Universal","Yes",IF(COUNTIFS('Tier Category Mapping'!$A:$A,VLOOKUP($A28,'Control Groups'!$A:$D,3,FALSE),'Tier Category Mapping'!$B:$B,C2,'Tier Category Mapping'!$D:$D,"Yes")&gt;0,"Yes",""))</f>
        <v/>
      </c>
      <c r="D28">
        <f>IF(VLOOKUP($A28,'Control Groups'!$A:$D,3,FALSE)="Tier 0 – Universal","Yes",IF(COUNTIFS('Tier Category Mapping'!$A:$A,VLOOKUP($A28,'Control Groups'!$A:$D,3,FALSE),'Tier Category Mapping'!$B:$B,D2,'Tier Category Mapping'!$D:$D,"Yes")&gt;0,"Yes",""))</f>
        <v/>
      </c>
      <c r="E28">
        <f>IF(VLOOKUP($A28,'Control Groups'!$A:$D,3,FALSE)="Tier 0 – Universal","Yes",IF(COUNTIFS('Tier Category Mapping'!$A:$A,VLOOKUP($A28,'Control Groups'!$A:$D,3,FALSE),'Tier Category Mapping'!$B:$B,E2,'Tier Category Mapping'!$D:$D,"Yes")&gt;0,"Yes",""))</f>
        <v/>
      </c>
      <c r="F28">
        <f>IF(VLOOKUP($A28,'Control Groups'!$A:$D,3,FALSE)="Tier 0 – Universal","Yes",IF(COUNTIFS('Tier Category Mapping'!$A:$A,VLOOKUP($A28,'Control Groups'!$A:$D,3,FALSE),'Tier Category Mapping'!$B:$B,F2,'Tier Category Mapping'!$D:$D,"Yes")&gt;0,"Yes",""))</f>
        <v/>
      </c>
      <c r="G28">
        <f>IF(VLOOKUP($A28,'Control Groups'!$A:$D,3,FALSE)="Tier 0 – Universal","Yes",IF(COUNTIFS('Tier Category Mapping'!$A:$A,VLOOKUP($A28,'Control Groups'!$A:$D,3,FALSE),'Tier Category Mapping'!$B:$B,G2,'Tier Category Mapping'!$D:$D,"Yes")&gt;0,"Yes",""))</f>
        <v/>
      </c>
      <c r="H28">
        <f>IF(VLOOKUP($A28,'Control Groups'!$A:$D,3,FALSE)="Tier 0 – Universal","Yes",IF(COUNTIFS('Tier Category Mapping'!$A:$A,VLOOKUP($A28,'Control Groups'!$A:$D,3,FALSE),'Tier Category Mapping'!$B:$B,H2,'Tier Category Mapping'!$D:$D,"Yes")&gt;0,"Yes",""))</f>
        <v/>
      </c>
      <c r="I28">
        <f>IF(VLOOKUP($A28,'Control Groups'!$A:$D,3,FALSE)="Tier 0 – Universal","Yes",IF(COUNTIFS('Tier Category Mapping'!$A:$A,VLOOKUP($A28,'Control Groups'!$A:$D,3,FALSE),'Tier Category Mapping'!$B:$B,I2,'Tier Category Mapping'!$D:$D,"Yes")&gt;0,"Yes",""))</f>
        <v/>
      </c>
      <c r="J28">
        <f>IF(VLOOKUP($A28,'Control Groups'!$A:$D,3,FALSE)="Tier 0 – Universal","Yes",IF(COUNTIFS('Tier Category Mapping'!$A:$A,VLOOKUP($A28,'Control Groups'!$A:$D,3,FALSE),'Tier Category Mapping'!$B:$B,J2,'Tier Category Mapping'!$D:$D,"Yes")&gt;0,"Yes",""))</f>
        <v/>
      </c>
      <c r="K28">
        <f>IF(VLOOKUP($A28,'Control Groups'!$A:$D,3,FALSE)="Tier 0 – Universal","Yes",IF(COUNTIFS('Tier Category Mapping'!$A:$A,VLOOKUP($A28,'Control Groups'!$A:$D,3,FALSE),'Tier Category Mapping'!$B:$B,K2,'Tier Category Mapping'!$D:$D,"Yes")&gt;0,"Yes",""))</f>
        <v/>
      </c>
      <c r="L28">
        <f>IF(VLOOKUP($A28,'Control Groups'!$A:$D,3,FALSE)="Tier 0 – Universal","Yes",IF(COUNTIFS('Tier Category Mapping'!$A:$A,VLOOKUP($A28,'Control Groups'!$A:$D,3,FALSE),'Tier Category Mapping'!$B:$B,L2,'Tier Category Mapping'!$D:$D,"Yes")&gt;0,"Yes",""))</f>
        <v/>
      </c>
      <c r="M28">
        <f>IF(VLOOKUP($A28,'Control Groups'!$A:$D,3,FALSE)="Tier 0 – Universal","Yes",IF(COUNTIFS('Tier Category Mapping'!$A:$A,VLOOKUP($A28,'Control Groups'!$A:$D,3,FALSE),'Tier Category Mapping'!$B:$B,M2,'Tier Category Mapping'!$D:$D,"Yes")&gt;0,"Yes",""))</f>
        <v/>
      </c>
      <c r="N28">
        <f>IF(VLOOKUP($A28,'Control Groups'!$A:$D,3,FALSE)="Tier 0 – Universal","Yes",IF(COUNTIFS('Tier Category Mapping'!$A:$A,VLOOKUP($A28,'Control Groups'!$A:$D,3,FALSE),'Tier Category Mapping'!$B:$B,N2,'Tier Category Mapping'!$D:$D,"Yes")&gt;0,"Yes",""))</f>
        <v/>
      </c>
      <c r="O28">
        <f>IF(VLOOKUP($A28,'Control Groups'!$A:$D,3,FALSE)="Tier 0 – Universal","Yes",IF(COUNTIFS('Tier Category Mapping'!$A:$A,VLOOKUP($A28,'Control Groups'!$A:$D,3,FALSE),'Tier Category Mapping'!$B:$B,O2,'Tier Category Mapping'!$D:$D,"Yes")&gt;0,"Yes",""))</f>
        <v/>
      </c>
      <c r="P28">
        <f>IF(VLOOKUP($A28,'Control Groups'!$A:$D,3,FALSE)="Tier 0 – Universal","Yes",IF(COUNTIFS('Tier Category Mapping'!$A:$A,VLOOKUP($A28,'Control Groups'!$A:$D,3,FALSE),'Tier Category Mapping'!$B:$B,P2,'Tier Category Mapping'!$D:$D,"Yes")&gt;0,"Yes",""))</f>
        <v/>
      </c>
      <c r="Q28">
        <f>IF(VLOOKUP($A28,'Control Groups'!$A:$D,3,FALSE)="Tier 0 – Universal","Yes",IF(COUNTIFS('Tier Category Mapping'!$A:$A,VLOOKUP($A28,'Control Groups'!$A:$D,3,FALSE),'Tier Category Mapping'!$B:$B,Q2,'Tier Category Mapping'!$D:$D,"Yes")&gt;0,"Yes",""))</f>
        <v/>
      </c>
      <c r="R28">
        <f>IF(VLOOKUP($A28,'Control Groups'!$A:$D,3,FALSE)="Tier 0 – Universal","Yes",IF(COUNTIFS('Tier Category Mapping'!$A:$A,VLOOKUP($A28,'Control Groups'!$A:$D,3,FALSE),'Tier Category Mapping'!$B:$B,R2,'Tier Category Mapping'!$D:$D,"Yes")&gt;0,"Yes",""))</f>
        <v/>
      </c>
      <c r="S28">
        <f>IF(VLOOKUP($A28,'Control Groups'!$A:$D,3,FALSE)="Tier 0 – Universal","Yes",IF(COUNTIFS('Tier Category Mapping'!$A:$A,VLOOKUP($A28,'Control Groups'!$A:$D,3,FALSE),'Tier Category Mapping'!$B:$B,S2,'Tier Category Mapping'!$D:$D,"Yes")&gt;0,"Yes",""))</f>
        <v/>
      </c>
      <c r="T28">
        <f>IF(VLOOKUP($A28,'Control Groups'!$A:$D,3,FALSE)="Tier 0 – Universal","Yes",IF(COUNTIFS('Tier Category Mapping'!$A:$A,VLOOKUP($A28,'Control Groups'!$A:$D,3,FALSE),'Tier Category Mapping'!$B:$B,T2,'Tier Category Mapping'!$D:$D,"Yes")&gt;0,"Yes",""))</f>
        <v/>
      </c>
      <c r="U28">
        <f>IF(VLOOKUP($A28,'Control Groups'!$A:$D,3,FALSE)="Tier 0 – Universal","Yes",IF(COUNTIFS('Tier Category Mapping'!$A:$A,VLOOKUP($A28,'Control Groups'!$A:$D,3,FALSE),'Tier Category Mapping'!$B:$B,U2,'Tier Category Mapping'!$D:$D,"Yes")&gt;0,"Yes",""))</f>
        <v/>
      </c>
      <c r="V28">
        <f>IF(VLOOKUP($A28,'Control Groups'!$A:$D,3,FALSE)="Tier 0 – Universal","Yes",IF(COUNTIFS('Tier Category Mapping'!$A:$A,VLOOKUP($A28,'Control Groups'!$A:$D,3,FALSE),'Tier Category Mapping'!$B:$B,V2,'Tier Category Mapping'!$D:$D,"Yes")&gt;0,"Yes",""))</f>
        <v/>
      </c>
      <c r="W28">
        <f>IF(VLOOKUP($A28,'Control Groups'!$A:$D,3,FALSE)="Tier 0 – Universal","Yes",IF(COUNTIFS('Tier Category Mapping'!$A:$A,VLOOKUP($A28,'Control Groups'!$A:$D,3,FALSE),'Tier Category Mapping'!$B:$B,W2,'Tier Category Mapping'!$D:$D,"Yes")&gt;0,"Yes",""))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Category Code</t>
        </is>
      </c>
      <c r="C1" s="1" t="inlineStr">
        <is>
          <t>Category Name</t>
        </is>
      </c>
      <c r="D1" s="1" t="inlineStr">
        <is>
          <t>Applies (Yes/No)</t>
        </is>
      </c>
      <c r="E1" s="1" t="inlineStr">
        <is>
          <t>Notes</t>
        </is>
      </c>
      <c r="F1" s="1" t="inlineStr">
        <is>
          <t>NOTE</t>
        </is>
      </c>
    </row>
    <row r="2">
      <c r="A2" t="inlineStr">
        <is>
          <t>Tier 0 – Universal</t>
        </is>
      </c>
      <c r="B2" t="inlineStr">
        <is>
          <t>INF-01</t>
        </is>
      </c>
      <c r="C2" t="inlineStr">
        <is>
          <t>Hypervisor</t>
        </is>
      </c>
      <c r="D2" t="inlineStr">
        <is>
          <t>Yes</t>
        </is>
      </c>
      <c r="F2" s="4" t="inlineStr">
        <is>
          <t>This sheet drives the Mandatory Controls Matrix via formulas.</t>
        </is>
      </c>
    </row>
    <row r="3">
      <c r="A3" t="inlineStr">
        <is>
          <t>Tier 0 – Universal</t>
        </is>
      </c>
      <c r="B3" t="inlineStr">
        <is>
          <t>INF-02</t>
        </is>
      </c>
      <c r="C3" t="inlineStr">
        <is>
          <t>Storage</t>
        </is>
      </c>
      <c r="D3" t="inlineStr">
        <is>
          <t>Yes</t>
        </is>
      </c>
      <c r="F3" s="4" t="inlineStr">
        <is>
          <t>Edit Applies (Yes/No) to adjust which categories belong to each tier.</t>
        </is>
      </c>
    </row>
    <row r="4">
      <c r="A4" t="inlineStr">
        <is>
          <t>Tier 0 – Universal</t>
        </is>
      </c>
      <c r="B4" t="inlineStr">
        <is>
          <t>INF-03</t>
        </is>
      </c>
      <c r="C4" t="inlineStr">
        <is>
          <t>Backup Infrastructure</t>
        </is>
      </c>
      <c r="D4" t="inlineStr">
        <is>
          <t>Yes</t>
        </is>
      </c>
    </row>
    <row r="5">
      <c r="A5" t="inlineStr">
        <is>
          <t>Tier 0 – Universal</t>
        </is>
      </c>
      <c r="B5" t="inlineStr">
        <is>
          <t>INF-04</t>
        </is>
      </c>
      <c r="C5" t="inlineStr">
        <is>
          <t>Network Infrastructure</t>
        </is>
      </c>
      <c r="D5" t="inlineStr">
        <is>
          <t>Yes</t>
        </is>
      </c>
    </row>
    <row r="6">
      <c r="A6" t="inlineStr">
        <is>
          <t>Tier 0 – Universal</t>
        </is>
      </c>
      <c r="B6" t="inlineStr">
        <is>
          <t>INF-05</t>
        </is>
      </c>
      <c r="C6" t="inlineStr">
        <is>
          <t>Physical Host</t>
        </is>
      </c>
      <c r="D6" t="inlineStr">
        <is>
          <t>Yes</t>
        </is>
      </c>
    </row>
    <row r="7">
      <c r="A7" t="inlineStr">
        <is>
          <t>Tier 0 – Universal</t>
        </is>
      </c>
      <c r="B7" t="inlineStr">
        <is>
          <t>CORE-01</t>
        </is>
      </c>
      <c r="C7" t="inlineStr">
        <is>
          <t>Identity</t>
        </is>
      </c>
      <c r="D7" t="inlineStr">
        <is>
          <t>Yes</t>
        </is>
      </c>
    </row>
    <row r="8">
      <c r="A8" t="inlineStr">
        <is>
          <t>Tier 0 – Universal</t>
        </is>
      </c>
      <c r="B8" t="inlineStr">
        <is>
          <t>CORE-02</t>
        </is>
      </c>
      <c r="C8" t="inlineStr">
        <is>
          <t>DNS/DHCP/NTP</t>
        </is>
      </c>
      <c r="D8" t="inlineStr">
        <is>
          <t>Yes</t>
        </is>
      </c>
    </row>
    <row r="9">
      <c r="A9" t="inlineStr">
        <is>
          <t>Tier 0 – Universal</t>
        </is>
      </c>
      <c r="B9" t="inlineStr">
        <is>
          <t>CORE-03</t>
        </is>
      </c>
      <c r="C9" t="inlineStr">
        <is>
          <t>PKI</t>
        </is>
      </c>
      <c r="D9" t="inlineStr">
        <is>
          <t>Yes</t>
        </is>
      </c>
    </row>
    <row r="10">
      <c r="A10" t="inlineStr">
        <is>
          <t>Tier 0 – Universal</t>
        </is>
      </c>
      <c r="B10" t="inlineStr">
        <is>
          <t>CORE-04</t>
        </is>
      </c>
      <c r="C10" t="inlineStr">
        <is>
          <t>Auth Proxy</t>
        </is>
      </c>
      <c r="D10" t="inlineStr">
        <is>
          <t>Yes</t>
        </is>
      </c>
    </row>
    <row r="11">
      <c r="A11" t="inlineStr">
        <is>
          <t>Tier 0 – Universal</t>
        </is>
      </c>
      <c r="B11" t="inlineStr">
        <is>
          <t>APP-01</t>
        </is>
      </c>
      <c r="C11" t="inlineStr">
        <is>
          <t>Application Server</t>
        </is>
      </c>
      <c r="D11" t="inlineStr">
        <is>
          <t>Yes</t>
        </is>
      </c>
    </row>
    <row r="12">
      <c r="A12" t="inlineStr">
        <is>
          <t>Tier 0 – Universal</t>
        </is>
      </c>
      <c r="B12" t="inlineStr">
        <is>
          <t>APP-02</t>
        </is>
      </c>
      <c r="C12" t="inlineStr">
        <is>
          <t>Web Server</t>
        </is>
      </c>
      <c r="D12" t="inlineStr">
        <is>
          <t>Yes</t>
        </is>
      </c>
    </row>
    <row r="13">
      <c r="A13" t="inlineStr">
        <is>
          <t>Tier 0 – Universal</t>
        </is>
      </c>
      <c r="B13" t="inlineStr">
        <is>
          <t>APP-03</t>
        </is>
      </c>
      <c r="C13" t="inlineStr">
        <is>
          <t>Runtime/Middleware</t>
        </is>
      </c>
      <c r="D13" t="inlineStr">
        <is>
          <t>Yes</t>
        </is>
      </c>
    </row>
    <row r="14">
      <c r="A14" t="inlineStr">
        <is>
          <t>Tier 0 – Universal</t>
        </is>
      </c>
      <c r="B14" t="inlineStr">
        <is>
          <t>APP-04</t>
        </is>
      </c>
      <c r="C14" t="inlineStr">
        <is>
          <t>API/Integration</t>
        </is>
      </c>
      <c r="D14" t="inlineStr">
        <is>
          <t>Yes</t>
        </is>
      </c>
    </row>
    <row r="15">
      <c r="A15" t="inlineStr">
        <is>
          <t>Tier 0 – Universal</t>
        </is>
      </c>
      <c r="B15" t="inlineStr">
        <is>
          <t>APP-05</t>
        </is>
      </c>
      <c r="C15" t="inlineStr">
        <is>
          <t>Batch/Scheduler</t>
        </is>
      </c>
      <c r="D15" t="inlineStr">
        <is>
          <t>Yes</t>
        </is>
      </c>
    </row>
    <row r="16">
      <c r="A16" t="inlineStr">
        <is>
          <t>Tier 0 – Universal</t>
        </is>
      </c>
      <c r="B16" t="inlineStr">
        <is>
          <t>DATA-01</t>
        </is>
      </c>
      <c r="C16" t="inlineStr">
        <is>
          <t>Database</t>
        </is>
      </c>
      <c r="D16" t="inlineStr">
        <is>
          <t>Yes</t>
        </is>
      </c>
    </row>
    <row r="17">
      <c r="A17" t="inlineStr">
        <is>
          <t>Tier 0 – Universal</t>
        </is>
      </c>
      <c r="B17" t="inlineStr">
        <is>
          <t>DATA-02</t>
        </is>
      </c>
      <c r="C17" t="inlineStr">
        <is>
          <t>File Server</t>
        </is>
      </c>
      <c r="D17" t="inlineStr">
        <is>
          <t>Yes</t>
        </is>
      </c>
    </row>
    <row r="18">
      <c r="A18" t="inlineStr">
        <is>
          <t>Tier 0 – Universal</t>
        </is>
      </c>
      <c r="B18" t="inlineStr">
        <is>
          <t>DATA-03</t>
        </is>
      </c>
      <c r="C18" t="inlineStr">
        <is>
          <t>BI/Reporting</t>
        </is>
      </c>
      <c r="D18" t="inlineStr">
        <is>
          <t>Yes</t>
        </is>
      </c>
    </row>
    <row r="19">
      <c r="A19" t="inlineStr">
        <is>
          <t>Tier 0 – Universal</t>
        </is>
      </c>
      <c r="B19" t="inlineStr">
        <is>
          <t>DATA-04</t>
        </is>
      </c>
      <c r="C19" t="inlineStr">
        <is>
          <t>ETL/Data Processing</t>
        </is>
      </c>
      <c r="D19" t="inlineStr">
        <is>
          <t>Yes</t>
        </is>
      </c>
    </row>
    <row r="20">
      <c r="A20" t="inlineStr">
        <is>
          <t>Tier 0 – Universal</t>
        </is>
      </c>
      <c r="B20" t="inlineStr">
        <is>
          <t>SEC-01</t>
        </is>
      </c>
      <c r="C20" t="inlineStr">
        <is>
          <t>SIEM/Logging</t>
        </is>
      </c>
      <c r="D20" t="inlineStr">
        <is>
          <t>Yes</t>
        </is>
      </c>
    </row>
    <row r="21">
      <c r="A21" t="inlineStr">
        <is>
          <t>Tier 0 – Universal</t>
        </is>
      </c>
      <c r="B21" t="inlineStr">
        <is>
          <t>SEC-02</t>
        </is>
      </c>
      <c r="C21" t="inlineStr">
        <is>
          <t>Security Management</t>
        </is>
      </c>
      <c r="D21" t="inlineStr">
        <is>
          <t>Yes</t>
        </is>
      </c>
    </row>
    <row r="22">
      <c r="A22" t="inlineStr">
        <is>
          <t>Tier 0 – Universal</t>
        </is>
      </c>
      <c r="B22" t="inlineStr">
        <is>
          <t>SEC-03</t>
        </is>
      </c>
      <c r="C22" t="inlineStr">
        <is>
          <t>Bastion/Jump</t>
        </is>
      </c>
      <c r="D22" t="inlineStr">
        <is>
          <t>Yes</t>
        </is>
      </c>
    </row>
    <row r="23">
      <c r="A23" t="inlineStr">
        <is>
          <t>Tier 1 – Trust / Control Plane</t>
        </is>
      </c>
      <c r="B23" t="inlineStr">
        <is>
          <t>INF-01</t>
        </is>
      </c>
      <c r="C23" t="inlineStr">
        <is>
          <t>Hypervisor</t>
        </is>
      </c>
      <c r="D23" t="inlineStr">
        <is>
          <t>Yes</t>
        </is>
      </c>
    </row>
    <row r="24">
      <c r="A24" t="inlineStr">
        <is>
          <t>Tier 1 – Trust / Control Plane</t>
        </is>
      </c>
      <c r="B24" t="inlineStr">
        <is>
          <t>INF-02</t>
        </is>
      </c>
      <c r="C24" t="inlineStr">
        <is>
          <t>Storage</t>
        </is>
      </c>
      <c r="D24" t="inlineStr">
        <is>
          <t>Yes</t>
        </is>
      </c>
    </row>
    <row r="25">
      <c r="A25" t="inlineStr">
        <is>
          <t>Tier 1 – Trust / Control Plane</t>
        </is>
      </c>
      <c r="B25" t="inlineStr">
        <is>
          <t>INF-03</t>
        </is>
      </c>
      <c r="C25" t="inlineStr">
        <is>
          <t>Backup Infrastructure</t>
        </is>
      </c>
      <c r="D25" t="inlineStr">
        <is>
          <t>Yes</t>
        </is>
      </c>
    </row>
    <row r="26">
      <c r="A26" t="inlineStr">
        <is>
          <t>Tier 1 – Trust / Control Plane</t>
        </is>
      </c>
      <c r="B26" t="inlineStr">
        <is>
          <t>INF-04</t>
        </is>
      </c>
      <c r="C26" t="inlineStr">
        <is>
          <t>Network Infrastructure</t>
        </is>
      </c>
      <c r="D26" t="inlineStr">
        <is>
          <t>Yes</t>
        </is>
      </c>
    </row>
    <row r="27">
      <c r="A27" t="inlineStr">
        <is>
          <t>Tier 1 – Trust / Control Plane</t>
        </is>
      </c>
      <c r="B27" t="inlineStr">
        <is>
          <t>INF-05</t>
        </is>
      </c>
      <c r="C27" t="inlineStr">
        <is>
          <t>Physical Host</t>
        </is>
      </c>
      <c r="D27" t="inlineStr">
        <is>
          <t>No</t>
        </is>
      </c>
    </row>
    <row r="28">
      <c r="A28" t="inlineStr">
        <is>
          <t>Tier 1 – Trust / Control Plane</t>
        </is>
      </c>
      <c r="B28" t="inlineStr">
        <is>
          <t>CORE-01</t>
        </is>
      </c>
      <c r="C28" t="inlineStr">
        <is>
          <t>Identity</t>
        </is>
      </c>
      <c r="D28" t="inlineStr">
        <is>
          <t>Yes</t>
        </is>
      </c>
    </row>
    <row r="29">
      <c r="A29" t="inlineStr">
        <is>
          <t>Tier 1 – Trust / Control Plane</t>
        </is>
      </c>
      <c r="B29" t="inlineStr">
        <is>
          <t>CORE-02</t>
        </is>
      </c>
      <c r="C29" t="inlineStr">
        <is>
          <t>DNS/DHCP/NTP</t>
        </is>
      </c>
      <c r="D29" t="inlineStr">
        <is>
          <t>No</t>
        </is>
      </c>
    </row>
    <row r="30">
      <c r="A30" t="inlineStr">
        <is>
          <t>Tier 1 – Trust / Control Plane</t>
        </is>
      </c>
      <c r="B30" t="inlineStr">
        <is>
          <t>CORE-03</t>
        </is>
      </c>
      <c r="C30" t="inlineStr">
        <is>
          <t>PKI</t>
        </is>
      </c>
      <c r="D30" t="inlineStr">
        <is>
          <t>Yes</t>
        </is>
      </c>
    </row>
    <row r="31">
      <c r="A31" t="inlineStr">
        <is>
          <t>Tier 1 – Trust / Control Plane</t>
        </is>
      </c>
      <c r="B31" t="inlineStr">
        <is>
          <t>CORE-04</t>
        </is>
      </c>
      <c r="C31" t="inlineStr">
        <is>
          <t>Auth Proxy</t>
        </is>
      </c>
      <c r="D31" t="inlineStr">
        <is>
          <t>No</t>
        </is>
      </c>
    </row>
    <row r="32">
      <c r="A32" t="inlineStr">
        <is>
          <t>Tier 1 – Trust / Control Plane</t>
        </is>
      </c>
      <c r="B32" t="inlineStr">
        <is>
          <t>APP-01</t>
        </is>
      </c>
      <c r="C32" t="inlineStr">
        <is>
          <t>Application Server</t>
        </is>
      </c>
      <c r="D32" t="inlineStr">
        <is>
          <t>No</t>
        </is>
      </c>
    </row>
    <row r="33">
      <c r="A33" t="inlineStr">
        <is>
          <t>Tier 1 – Trust / Control Plane</t>
        </is>
      </c>
      <c r="B33" t="inlineStr">
        <is>
          <t>APP-02</t>
        </is>
      </c>
      <c r="C33" t="inlineStr">
        <is>
          <t>Web Server</t>
        </is>
      </c>
      <c r="D33" t="inlineStr">
        <is>
          <t>No</t>
        </is>
      </c>
    </row>
    <row r="34">
      <c r="A34" t="inlineStr">
        <is>
          <t>Tier 1 – Trust / Control Plane</t>
        </is>
      </c>
      <c r="B34" t="inlineStr">
        <is>
          <t>APP-03</t>
        </is>
      </c>
      <c r="C34" t="inlineStr">
        <is>
          <t>Runtime/Middleware</t>
        </is>
      </c>
      <c r="D34" t="inlineStr">
        <is>
          <t>No</t>
        </is>
      </c>
    </row>
    <row r="35">
      <c r="A35" t="inlineStr">
        <is>
          <t>Tier 1 – Trust / Control Plane</t>
        </is>
      </c>
      <c r="B35" t="inlineStr">
        <is>
          <t>APP-04</t>
        </is>
      </c>
      <c r="C35" t="inlineStr">
        <is>
          <t>API/Integration</t>
        </is>
      </c>
      <c r="D35" t="inlineStr">
        <is>
          <t>No</t>
        </is>
      </c>
    </row>
    <row r="36">
      <c r="A36" t="inlineStr">
        <is>
          <t>Tier 1 – Trust / Control Plane</t>
        </is>
      </c>
      <c r="B36" t="inlineStr">
        <is>
          <t>APP-05</t>
        </is>
      </c>
      <c r="C36" t="inlineStr">
        <is>
          <t>Batch/Scheduler</t>
        </is>
      </c>
      <c r="D36" t="inlineStr">
        <is>
          <t>No</t>
        </is>
      </c>
    </row>
    <row r="37">
      <c r="A37" t="inlineStr">
        <is>
          <t>Tier 1 – Trust / Control Plane</t>
        </is>
      </c>
      <c r="B37" t="inlineStr">
        <is>
          <t>DATA-01</t>
        </is>
      </c>
      <c r="C37" t="inlineStr">
        <is>
          <t>Database</t>
        </is>
      </c>
      <c r="D37" t="inlineStr">
        <is>
          <t>Yes</t>
        </is>
      </c>
    </row>
    <row r="38">
      <c r="A38" t="inlineStr">
        <is>
          <t>Tier 1 – Trust / Control Plane</t>
        </is>
      </c>
      <c r="B38" t="inlineStr">
        <is>
          <t>DATA-02</t>
        </is>
      </c>
      <c r="C38" t="inlineStr">
        <is>
          <t>File Server</t>
        </is>
      </c>
      <c r="D38" t="inlineStr">
        <is>
          <t>Yes</t>
        </is>
      </c>
    </row>
    <row r="39">
      <c r="A39" t="inlineStr">
        <is>
          <t>Tier 1 – Trust / Control Plane</t>
        </is>
      </c>
      <c r="B39" t="inlineStr">
        <is>
          <t>DATA-03</t>
        </is>
      </c>
      <c r="C39" t="inlineStr">
        <is>
          <t>BI/Reporting</t>
        </is>
      </c>
      <c r="D39" t="inlineStr">
        <is>
          <t>No</t>
        </is>
      </c>
    </row>
    <row r="40">
      <c r="A40" t="inlineStr">
        <is>
          <t>Tier 1 – Trust / Control Plane</t>
        </is>
      </c>
      <c r="B40" t="inlineStr">
        <is>
          <t>DATA-04</t>
        </is>
      </c>
      <c r="C40" t="inlineStr">
        <is>
          <t>ETL/Data Processing</t>
        </is>
      </c>
      <c r="D40" t="inlineStr">
        <is>
          <t>No</t>
        </is>
      </c>
    </row>
    <row r="41">
      <c r="A41" t="inlineStr">
        <is>
          <t>Tier 1 – Trust / Control Plane</t>
        </is>
      </c>
      <c r="B41" t="inlineStr">
        <is>
          <t>SEC-01</t>
        </is>
      </c>
      <c r="C41" t="inlineStr">
        <is>
          <t>SIEM/Logging</t>
        </is>
      </c>
      <c r="D41" t="inlineStr">
        <is>
          <t>Yes</t>
        </is>
      </c>
    </row>
    <row r="42">
      <c r="A42" t="inlineStr">
        <is>
          <t>Tier 1 – Trust / Control Plane</t>
        </is>
      </c>
      <c r="B42" t="inlineStr">
        <is>
          <t>SEC-02</t>
        </is>
      </c>
      <c r="C42" t="inlineStr">
        <is>
          <t>Security Management</t>
        </is>
      </c>
      <c r="D42" t="inlineStr">
        <is>
          <t>Yes</t>
        </is>
      </c>
    </row>
    <row r="43">
      <c r="A43" t="inlineStr">
        <is>
          <t>Tier 1 – Trust / Control Plane</t>
        </is>
      </c>
      <c r="B43" t="inlineStr">
        <is>
          <t>SEC-03</t>
        </is>
      </c>
      <c r="C43" t="inlineStr">
        <is>
          <t>Bastion/Jump</t>
        </is>
      </c>
      <c r="D43" t="inlineStr">
        <is>
          <t>Yes</t>
        </is>
      </c>
    </row>
    <row r="44">
      <c r="A44" t="inlineStr">
        <is>
          <t>Tier 2 – Exposure-Based</t>
        </is>
      </c>
      <c r="B44" t="inlineStr">
        <is>
          <t>INF-01</t>
        </is>
      </c>
      <c r="C44" t="inlineStr">
        <is>
          <t>Hypervisor</t>
        </is>
      </c>
      <c r="D44" t="inlineStr">
        <is>
          <t>No</t>
        </is>
      </c>
    </row>
    <row r="45">
      <c r="A45" t="inlineStr">
        <is>
          <t>Tier 2 – Exposure-Based</t>
        </is>
      </c>
      <c r="B45" t="inlineStr">
        <is>
          <t>INF-02</t>
        </is>
      </c>
      <c r="C45" t="inlineStr">
        <is>
          <t>Storage</t>
        </is>
      </c>
      <c r="D45" t="inlineStr">
        <is>
          <t>No</t>
        </is>
      </c>
    </row>
    <row r="46">
      <c r="A46" t="inlineStr">
        <is>
          <t>Tier 2 – Exposure-Based</t>
        </is>
      </c>
      <c r="B46" t="inlineStr">
        <is>
          <t>INF-03</t>
        </is>
      </c>
      <c r="C46" t="inlineStr">
        <is>
          <t>Backup Infrastructure</t>
        </is>
      </c>
      <c r="D46" t="inlineStr">
        <is>
          <t>No</t>
        </is>
      </c>
    </row>
    <row r="47">
      <c r="A47" t="inlineStr">
        <is>
          <t>Tier 2 – Exposure-Based</t>
        </is>
      </c>
      <c r="B47" t="inlineStr">
        <is>
          <t>INF-04</t>
        </is>
      </c>
      <c r="C47" t="inlineStr">
        <is>
          <t>Network Infrastructure</t>
        </is>
      </c>
      <c r="D47" t="inlineStr">
        <is>
          <t>No</t>
        </is>
      </c>
    </row>
    <row r="48">
      <c r="A48" t="inlineStr">
        <is>
          <t>Tier 2 – Exposure-Based</t>
        </is>
      </c>
      <c r="B48" t="inlineStr">
        <is>
          <t>INF-05</t>
        </is>
      </c>
      <c r="C48" t="inlineStr">
        <is>
          <t>Physical Host</t>
        </is>
      </c>
      <c r="D48" t="inlineStr">
        <is>
          <t>No</t>
        </is>
      </c>
    </row>
    <row r="49">
      <c r="A49" t="inlineStr">
        <is>
          <t>Tier 2 – Exposure-Based</t>
        </is>
      </c>
      <c r="B49" t="inlineStr">
        <is>
          <t>CORE-01</t>
        </is>
      </c>
      <c r="C49" t="inlineStr">
        <is>
          <t>Identity</t>
        </is>
      </c>
      <c r="D49" t="inlineStr">
        <is>
          <t>No</t>
        </is>
      </c>
    </row>
    <row r="50">
      <c r="A50" t="inlineStr">
        <is>
          <t>Tier 2 – Exposure-Based</t>
        </is>
      </c>
      <c r="B50" t="inlineStr">
        <is>
          <t>CORE-02</t>
        </is>
      </c>
      <c r="C50" t="inlineStr">
        <is>
          <t>DNS/DHCP/NTP</t>
        </is>
      </c>
      <c r="D50" t="inlineStr">
        <is>
          <t>No</t>
        </is>
      </c>
    </row>
    <row r="51">
      <c r="A51" t="inlineStr">
        <is>
          <t>Tier 2 – Exposure-Based</t>
        </is>
      </c>
      <c r="B51" t="inlineStr">
        <is>
          <t>CORE-03</t>
        </is>
      </c>
      <c r="C51" t="inlineStr">
        <is>
          <t>PKI</t>
        </is>
      </c>
      <c r="D51" t="inlineStr">
        <is>
          <t>No</t>
        </is>
      </c>
    </row>
    <row r="52">
      <c r="A52" t="inlineStr">
        <is>
          <t>Tier 2 – Exposure-Based</t>
        </is>
      </c>
      <c r="B52" t="inlineStr">
        <is>
          <t>CORE-04</t>
        </is>
      </c>
      <c r="C52" t="inlineStr">
        <is>
          <t>Auth Proxy</t>
        </is>
      </c>
      <c r="D52" t="inlineStr">
        <is>
          <t>No</t>
        </is>
      </c>
    </row>
    <row r="53">
      <c r="A53" t="inlineStr">
        <is>
          <t>Tier 2 – Exposure-Based</t>
        </is>
      </c>
      <c r="B53" t="inlineStr">
        <is>
          <t>APP-01</t>
        </is>
      </c>
      <c r="C53" t="inlineStr">
        <is>
          <t>Application Server</t>
        </is>
      </c>
      <c r="D53" t="inlineStr">
        <is>
          <t>Yes</t>
        </is>
      </c>
    </row>
    <row r="54">
      <c r="A54" t="inlineStr">
        <is>
          <t>Tier 2 – Exposure-Based</t>
        </is>
      </c>
      <c r="B54" t="inlineStr">
        <is>
          <t>APP-02</t>
        </is>
      </c>
      <c r="C54" t="inlineStr">
        <is>
          <t>Web Server</t>
        </is>
      </c>
      <c r="D54" t="inlineStr">
        <is>
          <t>Yes</t>
        </is>
      </c>
    </row>
    <row r="55">
      <c r="A55" t="inlineStr">
        <is>
          <t>Tier 2 – Exposure-Based</t>
        </is>
      </c>
      <c r="B55" t="inlineStr">
        <is>
          <t>APP-03</t>
        </is>
      </c>
      <c r="C55" t="inlineStr">
        <is>
          <t>Runtime/Middleware</t>
        </is>
      </c>
      <c r="D55" t="inlineStr">
        <is>
          <t>Yes</t>
        </is>
      </c>
    </row>
    <row r="56">
      <c r="A56" t="inlineStr">
        <is>
          <t>Tier 2 – Exposure-Based</t>
        </is>
      </c>
      <c r="B56" t="inlineStr">
        <is>
          <t>APP-04</t>
        </is>
      </c>
      <c r="C56" t="inlineStr">
        <is>
          <t>API/Integration</t>
        </is>
      </c>
      <c r="D56" t="inlineStr">
        <is>
          <t>Yes</t>
        </is>
      </c>
    </row>
    <row r="57">
      <c r="A57" t="inlineStr">
        <is>
          <t>Tier 2 – Exposure-Based</t>
        </is>
      </c>
      <c r="B57" t="inlineStr">
        <is>
          <t>APP-05</t>
        </is>
      </c>
      <c r="C57" t="inlineStr">
        <is>
          <t>Batch/Scheduler</t>
        </is>
      </c>
      <c r="D57" t="inlineStr">
        <is>
          <t>Yes</t>
        </is>
      </c>
    </row>
    <row r="58">
      <c r="A58" t="inlineStr">
        <is>
          <t>Tier 2 – Exposure-Based</t>
        </is>
      </c>
      <c r="B58" t="inlineStr">
        <is>
          <t>DATA-01</t>
        </is>
      </c>
      <c r="C58" t="inlineStr">
        <is>
          <t>Database</t>
        </is>
      </c>
      <c r="D58" t="inlineStr">
        <is>
          <t>No</t>
        </is>
      </c>
    </row>
    <row r="59">
      <c r="A59" t="inlineStr">
        <is>
          <t>Tier 2 – Exposure-Based</t>
        </is>
      </c>
      <c r="B59" t="inlineStr">
        <is>
          <t>DATA-02</t>
        </is>
      </c>
      <c r="C59" t="inlineStr">
        <is>
          <t>File Server</t>
        </is>
      </c>
      <c r="D59" t="inlineStr">
        <is>
          <t>No</t>
        </is>
      </c>
    </row>
    <row r="60">
      <c r="A60" t="inlineStr">
        <is>
          <t>Tier 2 – Exposure-Based</t>
        </is>
      </c>
      <c r="B60" t="inlineStr">
        <is>
          <t>DATA-03</t>
        </is>
      </c>
      <c r="C60" t="inlineStr">
        <is>
          <t>BI/Reporting</t>
        </is>
      </c>
      <c r="D60" t="inlineStr">
        <is>
          <t>No</t>
        </is>
      </c>
    </row>
    <row r="61">
      <c r="A61" t="inlineStr">
        <is>
          <t>Tier 2 – Exposure-Based</t>
        </is>
      </c>
      <c r="B61" t="inlineStr">
        <is>
          <t>DATA-04</t>
        </is>
      </c>
      <c r="C61" t="inlineStr">
        <is>
          <t>ETL/Data Processing</t>
        </is>
      </c>
      <c r="D61" t="inlineStr">
        <is>
          <t>No</t>
        </is>
      </c>
    </row>
    <row r="62">
      <c r="A62" t="inlineStr">
        <is>
          <t>Tier 2 – Exposure-Based</t>
        </is>
      </c>
      <c r="B62" t="inlineStr">
        <is>
          <t>SEC-01</t>
        </is>
      </c>
      <c r="C62" t="inlineStr">
        <is>
          <t>SIEM/Logging</t>
        </is>
      </c>
      <c r="D62" t="inlineStr">
        <is>
          <t>No</t>
        </is>
      </c>
    </row>
    <row r="63">
      <c r="A63" t="inlineStr">
        <is>
          <t>Tier 2 – Exposure-Based</t>
        </is>
      </c>
      <c r="B63" t="inlineStr">
        <is>
          <t>SEC-02</t>
        </is>
      </c>
      <c r="C63" t="inlineStr">
        <is>
          <t>Security Management</t>
        </is>
      </c>
      <c r="D63" t="inlineStr">
        <is>
          <t>No</t>
        </is>
      </c>
    </row>
    <row r="64">
      <c r="A64" t="inlineStr">
        <is>
          <t>Tier 2 – Exposure-Based</t>
        </is>
      </c>
      <c r="B64" t="inlineStr">
        <is>
          <t>SEC-03</t>
        </is>
      </c>
      <c r="C64" t="inlineStr">
        <is>
          <t>Bastion/Jump</t>
        </is>
      </c>
      <c r="D64" t="inlineStr">
        <is>
          <t>No</t>
        </is>
      </c>
    </row>
    <row r="65">
      <c r="A65" t="inlineStr">
        <is>
          <t>Tier 3 – Data-Centric</t>
        </is>
      </c>
      <c r="B65" t="inlineStr">
        <is>
          <t>INF-01</t>
        </is>
      </c>
      <c r="C65" t="inlineStr">
        <is>
          <t>Hypervisor</t>
        </is>
      </c>
      <c r="D65" t="inlineStr">
        <is>
          <t>No</t>
        </is>
      </c>
    </row>
    <row r="66">
      <c r="A66" t="inlineStr">
        <is>
          <t>Tier 3 – Data-Centric</t>
        </is>
      </c>
      <c r="B66" t="inlineStr">
        <is>
          <t>INF-02</t>
        </is>
      </c>
      <c r="C66" t="inlineStr">
        <is>
          <t>Storage</t>
        </is>
      </c>
      <c r="D66" t="inlineStr">
        <is>
          <t>No</t>
        </is>
      </c>
    </row>
    <row r="67">
      <c r="A67" t="inlineStr">
        <is>
          <t>Tier 3 – Data-Centric</t>
        </is>
      </c>
      <c r="B67" t="inlineStr">
        <is>
          <t>INF-03</t>
        </is>
      </c>
      <c r="C67" t="inlineStr">
        <is>
          <t>Backup Infrastructure</t>
        </is>
      </c>
      <c r="D67" t="inlineStr">
        <is>
          <t>No</t>
        </is>
      </c>
    </row>
    <row r="68">
      <c r="A68" t="inlineStr">
        <is>
          <t>Tier 3 – Data-Centric</t>
        </is>
      </c>
      <c r="B68" t="inlineStr">
        <is>
          <t>INF-04</t>
        </is>
      </c>
      <c r="C68" t="inlineStr">
        <is>
          <t>Network Infrastructure</t>
        </is>
      </c>
      <c r="D68" t="inlineStr">
        <is>
          <t>No</t>
        </is>
      </c>
    </row>
    <row r="69">
      <c r="A69" t="inlineStr">
        <is>
          <t>Tier 3 – Data-Centric</t>
        </is>
      </c>
      <c r="B69" t="inlineStr">
        <is>
          <t>INF-05</t>
        </is>
      </c>
      <c r="C69" t="inlineStr">
        <is>
          <t>Physical Host</t>
        </is>
      </c>
      <c r="D69" t="inlineStr">
        <is>
          <t>No</t>
        </is>
      </c>
    </row>
    <row r="70">
      <c r="A70" t="inlineStr">
        <is>
          <t>Tier 3 – Data-Centric</t>
        </is>
      </c>
      <c r="B70" t="inlineStr">
        <is>
          <t>CORE-01</t>
        </is>
      </c>
      <c r="C70" t="inlineStr">
        <is>
          <t>Identity</t>
        </is>
      </c>
      <c r="D70" t="inlineStr">
        <is>
          <t>No</t>
        </is>
      </c>
    </row>
    <row r="71">
      <c r="A71" t="inlineStr">
        <is>
          <t>Tier 3 – Data-Centric</t>
        </is>
      </c>
      <c r="B71" t="inlineStr">
        <is>
          <t>CORE-02</t>
        </is>
      </c>
      <c r="C71" t="inlineStr">
        <is>
          <t>DNS/DHCP/NTP</t>
        </is>
      </c>
      <c r="D71" t="inlineStr">
        <is>
          <t>No</t>
        </is>
      </c>
    </row>
    <row r="72">
      <c r="A72" t="inlineStr">
        <is>
          <t>Tier 3 – Data-Centric</t>
        </is>
      </c>
      <c r="B72" t="inlineStr">
        <is>
          <t>CORE-03</t>
        </is>
      </c>
      <c r="C72" t="inlineStr">
        <is>
          <t>PKI</t>
        </is>
      </c>
      <c r="D72" t="inlineStr">
        <is>
          <t>No</t>
        </is>
      </c>
    </row>
    <row r="73">
      <c r="A73" t="inlineStr">
        <is>
          <t>Tier 3 – Data-Centric</t>
        </is>
      </c>
      <c r="B73" t="inlineStr">
        <is>
          <t>CORE-04</t>
        </is>
      </c>
      <c r="C73" t="inlineStr">
        <is>
          <t>Auth Proxy</t>
        </is>
      </c>
      <c r="D73" t="inlineStr">
        <is>
          <t>No</t>
        </is>
      </c>
    </row>
    <row r="74">
      <c r="A74" t="inlineStr">
        <is>
          <t>Tier 3 – Data-Centric</t>
        </is>
      </c>
      <c r="B74" t="inlineStr">
        <is>
          <t>APP-01</t>
        </is>
      </c>
      <c r="C74" t="inlineStr">
        <is>
          <t>Application Server</t>
        </is>
      </c>
      <c r="D74" t="inlineStr">
        <is>
          <t>No</t>
        </is>
      </c>
    </row>
    <row r="75">
      <c r="A75" t="inlineStr">
        <is>
          <t>Tier 3 – Data-Centric</t>
        </is>
      </c>
      <c r="B75" t="inlineStr">
        <is>
          <t>APP-02</t>
        </is>
      </c>
      <c r="C75" t="inlineStr">
        <is>
          <t>Web Server</t>
        </is>
      </c>
      <c r="D75" t="inlineStr">
        <is>
          <t>No</t>
        </is>
      </c>
    </row>
    <row r="76">
      <c r="A76" t="inlineStr">
        <is>
          <t>Tier 3 – Data-Centric</t>
        </is>
      </c>
      <c r="B76" t="inlineStr">
        <is>
          <t>APP-03</t>
        </is>
      </c>
      <c r="C76" t="inlineStr">
        <is>
          <t>Runtime/Middleware</t>
        </is>
      </c>
      <c r="D76" t="inlineStr">
        <is>
          <t>No</t>
        </is>
      </c>
    </row>
    <row r="77">
      <c r="A77" t="inlineStr">
        <is>
          <t>Tier 3 – Data-Centric</t>
        </is>
      </c>
      <c r="B77" t="inlineStr">
        <is>
          <t>APP-04</t>
        </is>
      </c>
      <c r="C77" t="inlineStr">
        <is>
          <t>API/Integration</t>
        </is>
      </c>
      <c r="D77" t="inlineStr">
        <is>
          <t>No</t>
        </is>
      </c>
    </row>
    <row r="78">
      <c r="A78" t="inlineStr">
        <is>
          <t>Tier 3 – Data-Centric</t>
        </is>
      </c>
      <c r="B78" t="inlineStr">
        <is>
          <t>APP-05</t>
        </is>
      </c>
      <c r="C78" t="inlineStr">
        <is>
          <t>Batch/Scheduler</t>
        </is>
      </c>
      <c r="D78" t="inlineStr">
        <is>
          <t>No</t>
        </is>
      </c>
    </row>
    <row r="79">
      <c r="A79" t="inlineStr">
        <is>
          <t>Tier 3 – Data-Centric</t>
        </is>
      </c>
      <c r="B79" t="inlineStr">
        <is>
          <t>DATA-01</t>
        </is>
      </c>
      <c r="C79" t="inlineStr">
        <is>
          <t>Database</t>
        </is>
      </c>
      <c r="D79" t="inlineStr">
        <is>
          <t>Yes</t>
        </is>
      </c>
    </row>
    <row r="80">
      <c r="A80" t="inlineStr">
        <is>
          <t>Tier 3 – Data-Centric</t>
        </is>
      </c>
      <c r="B80" t="inlineStr">
        <is>
          <t>DATA-02</t>
        </is>
      </c>
      <c r="C80" t="inlineStr">
        <is>
          <t>File Server</t>
        </is>
      </c>
      <c r="D80" t="inlineStr">
        <is>
          <t>Yes</t>
        </is>
      </c>
    </row>
    <row r="81">
      <c r="A81" t="inlineStr">
        <is>
          <t>Tier 3 – Data-Centric</t>
        </is>
      </c>
      <c r="B81" t="inlineStr">
        <is>
          <t>DATA-03</t>
        </is>
      </c>
      <c r="C81" t="inlineStr">
        <is>
          <t>BI/Reporting</t>
        </is>
      </c>
      <c r="D81" t="inlineStr">
        <is>
          <t>Yes</t>
        </is>
      </c>
    </row>
    <row r="82">
      <c r="A82" t="inlineStr">
        <is>
          <t>Tier 3 – Data-Centric</t>
        </is>
      </c>
      <c r="B82" t="inlineStr">
        <is>
          <t>DATA-04</t>
        </is>
      </c>
      <c r="C82" t="inlineStr">
        <is>
          <t>ETL/Data Processing</t>
        </is>
      </c>
      <c r="D82" t="inlineStr">
        <is>
          <t>Yes</t>
        </is>
      </c>
    </row>
    <row r="83">
      <c r="A83" t="inlineStr">
        <is>
          <t>Tier 3 – Data-Centric</t>
        </is>
      </c>
      <c r="B83" t="inlineStr">
        <is>
          <t>SEC-01</t>
        </is>
      </c>
      <c r="C83" t="inlineStr">
        <is>
          <t>SIEM/Logging</t>
        </is>
      </c>
      <c r="D83" t="inlineStr">
        <is>
          <t>No</t>
        </is>
      </c>
    </row>
    <row r="84">
      <c r="A84" t="inlineStr">
        <is>
          <t>Tier 3 – Data-Centric</t>
        </is>
      </c>
      <c r="B84" t="inlineStr">
        <is>
          <t>SEC-02</t>
        </is>
      </c>
      <c r="C84" t="inlineStr">
        <is>
          <t>Security Management</t>
        </is>
      </c>
      <c r="D84" t="inlineStr">
        <is>
          <t>No</t>
        </is>
      </c>
    </row>
    <row r="85">
      <c r="A85" t="inlineStr">
        <is>
          <t>Tier 3 – Data-Centric</t>
        </is>
      </c>
      <c r="B85" t="inlineStr">
        <is>
          <t>SEC-03</t>
        </is>
      </c>
      <c r="C85" t="inlineStr">
        <is>
          <t>Bastion/Jump</t>
        </is>
      </c>
      <c r="D8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2026-02-01T06:14:07Z</dcterms:created>
  <dcterms:modified xmlns:dcterms="http://purl.org/dc/terms/" xmlns:xsi="http://www.w3.org/2001/XMLSchema-instance" xsi:type="dcterms:W3CDTF">2026-02-01T06:26:25Z</dcterms:modified>
</cp:coreProperties>
</file>